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x\Documents\My Projects\Intendance-Excel-Macro\"/>
    </mc:Choice>
  </mc:AlternateContent>
  <xr:revisionPtr revIDLastSave="0" documentId="13_ncr:1_{29B1D7B2-FBAC-46AC-8924-1D5409966C9D}" xr6:coauthVersionLast="47" xr6:coauthVersionMax="47" xr10:uidLastSave="{00000000-0000-0000-0000-000000000000}"/>
  <bookViews>
    <workbookView xWindow="-120" yWindow="-120" windowWidth="38640" windowHeight="21120" tabRatio="675" activeTab="1" xr2:uid="{00000000-000D-0000-FFFF-FFFF00000000}"/>
  </bookViews>
  <sheets>
    <sheet name="Accueil" sheetId="467" r:id="rId1"/>
    <sheet name="Menu" sheetId="472" r:id="rId2"/>
    <sheet name="Liste Sec" sheetId="469" r:id="rId3"/>
    <sheet name="Liste Frais" sheetId="470" r:id="rId4"/>
    <sheet name="Recettes" sheetId="471" r:id="rId5"/>
    <sheet name="BaseAliments" sheetId="451" r:id="rId6"/>
    <sheet name="BaseRecettes" sheetId="443" r:id="rId7"/>
  </sheets>
  <functionGroups builtInGroupCount="19"/>
  <definedNames>
    <definedName name="DonnéesExternes_1" localSheetId="5">BaseAliments!$A$1:$Z$103</definedName>
    <definedName name="List" localSheetId="6">BaseRecettes!$A$1:$Z$103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46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00FB72-D6CA-49AC-9AB9-E9658319898B}" name="Connexion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<sst xmlns="http://schemas.openxmlformats.org/spreadsheetml/2006/main" count="564" uniqueCount="237">
  <si>
    <t>Assistant d'Intendance</t>
  </si>
  <si>
    <t>Nb de jours :</t>
  </si>
  <si>
    <t>Nb de gros mangeurs :</t>
  </si>
  <si>
    <t>les quantité sont prévu en pièce (standard) si non précisé</t>
  </si>
  <si>
    <t>Nb de repas</t>
  </si>
  <si>
    <t>A acheter !</t>
  </si>
  <si>
    <t>Unité</t>
  </si>
  <si>
    <t>Date de Début :</t>
  </si>
  <si>
    <t>Pti Dej</t>
  </si>
  <si>
    <t>Midi</t>
  </si>
  <si>
    <t>Goûter</t>
  </si>
  <si>
    <t>Dîner</t>
  </si>
  <si>
    <t>L</t>
  </si>
  <si>
    <t>Abricot</t>
  </si>
  <si>
    <t>Frais</t>
  </si>
  <si>
    <t>Actimels</t>
  </si>
  <si>
    <t>Ail</t>
  </si>
  <si>
    <t>gousse</t>
  </si>
  <si>
    <t>Sec</t>
  </si>
  <si>
    <t>Aubergine</t>
  </si>
  <si>
    <t>g</t>
  </si>
  <si>
    <t>Banane</t>
  </si>
  <si>
    <t>Barre de cereale</t>
  </si>
  <si>
    <t>barre</t>
  </si>
  <si>
    <t>Betterave</t>
  </si>
  <si>
    <t>Beurre</t>
  </si>
  <si>
    <t>Bleu</t>
  </si>
  <si>
    <t>BN</t>
  </si>
  <si>
    <t>Sardine (boite)</t>
  </si>
  <si>
    <t>Petit pois carotte</t>
  </si>
  <si>
    <t>Bolo (pot)</t>
  </si>
  <si>
    <t>Boudoirs</t>
  </si>
  <si>
    <t>biscuit</t>
  </si>
  <si>
    <t>Bouillon</t>
  </si>
  <si>
    <t>cube</t>
  </si>
  <si>
    <t>Boulghour</t>
  </si>
  <si>
    <t>Brie</t>
  </si>
  <si>
    <t>Brioche</t>
  </si>
  <si>
    <t>Brownie</t>
  </si>
  <si>
    <t>Cacao</t>
  </si>
  <si>
    <t>Cahuetes</t>
  </si>
  <si>
    <t>Camembert</t>
  </si>
  <si>
    <t>Carottes</t>
  </si>
  <si>
    <t>Cereales</t>
  </si>
  <si>
    <t>Cerise</t>
  </si>
  <si>
    <t>Chair de crabe</t>
  </si>
  <si>
    <t>Chamallow</t>
  </si>
  <si>
    <t>Champignons</t>
  </si>
  <si>
    <t>Charcuterie raclette</t>
  </si>
  <si>
    <t>Cheveux d'ange</t>
  </si>
  <si>
    <t>Chevre</t>
  </si>
  <si>
    <t>Chips</t>
  </si>
  <si>
    <t>Chocolat</t>
  </si>
  <si>
    <t>Chou blanc</t>
  </si>
  <si>
    <t>Citron</t>
  </si>
  <si>
    <t>Compote</t>
  </si>
  <si>
    <t>Comte</t>
  </si>
  <si>
    <t>Concombre</t>
  </si>
  <si>
    <t>Confiture</t>
  </si>
  <si>
    <t>Kg</t>
  </si>
  <si>
    <t>Cookie</t>
  </si>
  <si>
    <t>Courgette</t>
  </si>
  <si>
    <t>Couscous(graine)</t>
  </si>
  <si>
    <t>Creme</t>
  </si>
  <si>
    <t>Creme de marron</t>
  </si>
  <si>
    <t>Crozets</t>
  </si>
  <si>
    <t>Curry (pot)</t>
  </si>
  <si>
    <t>Epinards frais</t>
  </si>
  <si>
    <t>Escalope de Boeuf</t>
  </si>
  <si>
    <t>Escalope volaille</t>
  </si>
  <si>
    <t>Feta</t>
  </si>
  <si>
    <t>Figue</t>
  </si>
  <si>
    <t>Flamby</t>
  </si>
  <si>
    <t>Fleur d'oranger</t>
  </si>
  <si>
    <t>1/200</t>
  </si>
  <si>
    <t>Fromage blanc</t>
  </si>
  <si>
    <t>Fromage rape</t>
  </si>
  <si>
    <t>Fruit Secs</t>
  </si>
  <si>
    <t>Fruit Sirop</t>
  </si>
  <si>
    <t>Fruits rouges</t>
  </si>
  <si>
    <t>Galette fajitas</t>
  </si>
  <si>
    <t>galette</t>
  </si>
  <si>
    <t>Gruyere</t>
  </si>
  <si>
    <t>Haricots</t>
  </si>
  <si>
    <t>Jambon</t>
  </si>
  <si>
    <t>tranche</t>
  </si>
  <si>
    <t>Ketchup</t>
  </si>
  <si>
    <t>Knacky</t>
  </si>
  <si>
    <t>Lait</t>
  </si>
  <si>
    <t>Lait coco</t>
  </si>
  <si>
    <t>Laitue</t>
  </si>
  <si>
    <t>Lardons</t>
  </si>
  <si>
    <t>Lentilles</t>
  </si>
  <si>
    <t>Lu</t>
  </si>
  <si>
    <t>Madeleine</t>
  </si>
  <si>
    <t>Mais</t>
  </si>
  <si>
    <t>Maizena</t>
  </si>
  <si>
    <t>Mascarpone</t>
  </si>
  <si>
    <t>Melon</t>
  </si>
  <si>
    <t>Merguez</t>
  </si>
  <si>
    <t>Mont blanc</t>
  </si>
  <si>
    <t>Mozzarella</t>
  </si>
  <si>
    <t>boule</t>
  </si>
  <si>
    <t>Navet</t>
  </si>
  <si>
    <t>Nectarine</t>
  </si>
  <si>
    <t>Nutella</t>
  </si>
  <si>
    <t>Oeufs</t>
  </si>
  <si>
    <t>Oignons</t>
  </si>
  <si>
    <t>Olive</t>
  </si>
  <si>
    <t>Orge monde</t>
  </si>
  <si>
    <t>Pain</t>
  </si>
  <si>
    <t>baguette</t>
  </si>
  <si>
    <t>Pain d'epice</t>
  </si>
  <si>
    <t>Pains Pitas</t>
  </si>
  <si>
    <t>Pamplemousse</t>
  </si>
  <si>
    <t>Pasteque</t>
  </si>
  <si>
    <t>Patates</t>
  </si>
  <si>
    <t>Pates</t>
  </si>
  <si>
    <t>Peche</t>
  </si>
  <si>
    <t>Pesto</t>
  </si>
  <si>
    <t>Poire</t>
  </si>
  <si>
    <t>Pois chiche</t>
  </si>
  <si>
    <t>Poivron</t>
  </si>
  <si>
    <t>Pomelo</t>
  </si>
  <si>
    <t>List</t>
  </si>
  <si>
    <t>Gateau Yaourt</t>
  </si>
  <si>
    <t>Yaourt</t>
  </si>
  <si>
    <t>Allumer le four (180C). Graisser un moule.</t>
  </si>
  <si>
    <t>Sucre</t>
  </si>
  <si>
    <t>Mettre la preparation dans le moule beurre et faire cuire 35 minutes. Laisser refroidir et demouler.</t>
  </si>
  <si>
    <t>Levure</t>
  </si>
  <si>
    <t>Farine</t>
  </si>
  <si>
    <t>Proportion</t>
  </si>
  <si>
    <t>Jours courses :</t>
  </si>
  <si>
    <t>Pomme</t>
  </si>
  <si>
    <t>Riz</t>
  </si>
  <si>
    <t>Sauce barbecue</t>
  </si>
  <si>
    <t>Tomate</t>
  </si>
  <si>
    <t>Tomme</t>
  </si>
  <si>
    <t>Vanille</t>
  </si>
  <si>
    <t>l</t>
  </si>
  <si>
    <t>Liste de course fraiche</t>
  </si>
  <si>
    <t>proportions moyenne de mileu de camps (A ajuster selon vos estimation, en general avec -20% en début et +20% en fin de camp)</t>
  </si>
  <si>
    <t>Comment utiliser l'assistant :</t>
  </si>
  <si>
    <t>Activité</t>
  </si>
  <si>
    <t>Aligot</t>
  </si>
  <si>
    <t>Patate</t>
  </si>
  <si>
    <t>Tiramisu</t>
  </si>
  <si>
    <t>Riz au lait</t>
  </si>
  <si>
    <t>Kebab</t>
  </si>
  <si>
    <t>Boeuf</t>
  </si>
  <si>
    <t>Pain Pita</t>
  </si>
  <si>
    <t>Oignon</t>
  </si>
  <si>
    <t>Chou Blanc</t>
  </si>
  <si>
    <t>Servir tout dans le pain</t>
  </si>
  <si>
    <t>Paprika-Gingembre</t>
  </si>
  <si>
    <t>Sauce Bechamel</t>
  </si>
  <si>
    <t>Faites fondre le beurre dans une casserole</t>
  </si>
  <si>
    <t>Muscade/Curry</t>
  </si>
  <si>
    <t>Charlotte au fruit rouge</t>
  </si>
  <si>
    <t>Plantez la pomme avec le pique</t>
  </si>
  <si>
    <t>Pique</t>
  </si>
  <si>
    <t>Flan aux oeufs</t>
  </si>
  <si>
    <t>Senku Cola</t>
  </si>
  <si>
    <t>Eau Gazeuse</t>
  </si>
  <si>
    <t>Faire du caramel liquide avec le sucre et le miel.</t>
  </si>
  <si>
    <t>Coriandre</t>
  </si>
  <si>
    <t>Melanger citron et coriandre puis ajouter le caramel.</t>
  </si>
  <si>
    <t>Citron vert</t>
  </si>
  <si>
    <t>Miel</t>
  </si>
  <si>
    <t>Detaillez le fromage en tres fines lamelles. Sur feu doux, ajoutez le fromage a la puree.</t>
  </si>
  <si>
    <t>Melanger les jaunes avec le sucre roux et le sucre vanille. Ajoutez le mascarpone.</t>
  </si>
  <si>
    <t>Monter les blancs en neige et les incorporer delicatement a la spatule au melange precedent. Reserver.</t>
  </si>
  <si>
    <t>Alterner ensuite couche de creme et couche de biscuits.</t>
  </si>
  <si>
    <t>Refrigerer 4h.</t>
  </si>
  <si>
    <t>egoutter le riz. Faire chauffer le lait avec la vanille et le sucre. Verser le riz.</t>
  </si>
  <si>
    <t>Melanger le tout en y ajoutant les morceaux de viande</t>
  </si>
  <si>
    <t>En parallele, couper les legumes</t>
  </si>
  <si>
    <t>Ajoutez la farine et remuez avec une cuillere de bois sans laisser colorer, juste epaissir.</t>
  </si>
  <si>
    <t>Puis verser petit a petit le lait bouillant contenant la gousse de vanille. Porter a ebullition 5mn en tournant sans cesse.</t>
  </si>
  <si>
    <t>Sirop : Bouillir eau et 1/3 du sucre pendant 1 min. Aromatiser. Tremper les biscuits cuillere et tapisser le fond.</t>
  </si>
  <si>
    <t>Verser le yaourt dans un saladier et ajouter dans l ordre en melangeant bien avec une cuillere en bois :</t>
  </si>
  <si>
    <t>le sucre, les oeufs un a un, la farine, la levure, du sel, un filet d huile, la vanille.</t>
  </si>
  <si>
    <t>Faites cuire les pommes de terre epluchees pendant 25 a 30 min dans une casserole d eau. Egouttez</t>
  </si>
  <si>
    <t>Reduisez-les ensuite une puree grossiere et assaisonnez avec le beurre, la creme, l ail pile, tres peu de sel et du poivre.</t>
  </si>
  <si>
    <t>Pendant au moins 15 min, battez la masse en formant des "huit" et en la soulevant jusqu a obtenir une pate lisse.</t>
  </si>
  <si>
    <t>Mouiller les biscuits dans le cafe/cacao rapidement avant d en tapisser le fond du plat.</t>
  </si>
  <si>
    <t>Vanille/Fleur d oranger</t>
  </si>
  <si>
    <t>Faire cuire les morceaux de viande a la poele jusqu a ce qu ils dorent un peu.</t>
  </si>
  <si>
    <t>Versez le lait sans cesser de remuer, jusqu a ce que la sauce epaississe. Assaisonnez</t>
  </si>
  <si>
    <t>Alterner fruits rouge, creme patissiere et biscuits. Terminer par biscuits. Ne pas laisser d air. Reposer au frais.</t>
  </si>
  <si>
    <t>Pommes d amour</t>
  </si>
  <si>
    <t>Versez sucre, beurre, eau et jus de citron dans une casserole a feu doux. Melanger jusqu a dorer.</t>
  </si>
  <si>
    <t>Plongez la pomme dans le caramel, puis la refroidir brutalement dans de l eau qq secondes.</t>
  </si>
  <si>
    <t>Dissoudre le tout dans l eau C02, puis rafraichir.</t>
  </si>
  <si>
    <t>Faire bouillir l eau dans une casserole. Mettre le riz et le laisser bouillir 2 a 3 minutes.</t>
  </si>
  <si>
    <t>Faire bouillir, puis laisser cuire a feu doux sans remuer. Le riz est cuit lorsqu il a absorbe tout le lait. Laisser refroidir.</t>
  </si>
  <si>
    <t>Couper les escalopes en des. Dans un plat creux, verser l huile d olive, puis 4 c.a soupe de paprika, 2 gingembre, 4 curry.</t>
  </si>
  <si>
    <t>Delayer, puis ajouter sel, poivre et 2 c. a soupe de vinaigre. Pour finir, ajouter 2 ou 3 c. a soupe d herbes de provence.</t>
  </si>
  <si>
    <t>creme patissiere : Travailler les jaunes d oeufs avec 2/3 du sucre jusqu a ce que le melange blanchisse. Ajouter la farine. Melanger.</t>
  </si>
  <si>
    <t>Incorporer le lait aux oeufs en remuant, mettre sur le caramel puis au four au bain marie 1h.</t>
  </si>
  <si>
    <t>Prechauffer le four 150C. Dans une casserole, faire chauffer le lait avec le sucre et la vanille</t>
  </si>
  <si>
    <t>Battre les oeufs. Faire un caramel peu cuit et le mettre au fond du plat.</t>
  </si>
  <si>
    <t>Poulet</t>
  </si>
  <si>
    <t>Prune</t>
  </si>
  <si>
    <t>Prunes</t>
  </si>
  <si>
    <t>Puree poudre</t>
  </si>
  <si>
    <t>sachet</t>
  </si>
  <si>
    <t>Quatre-quarts</t>
  </si>
  <si>
    <t>Quenelles</t>
  </si>
  <si>
    <t>Quinoa</t>
  </si>
  <si>
    <t>Radis</t>
  </si>
  <si>
    <t>Botte</t>
  </si>
  <si>
    <t>Raisin sec</t>
  </si>
  <si>
    <t>Reblochon</t>
  </si>
  <si>
    <t>Roquefort</t>
  </si>
  <si>
    <t>Salade</t>
  </si>
  <si>
    <t>Sauce blanche</t>
  </si>
  <si>
    <t>Saucisson</t>
  </si>
  <si>
    <t>Savane</t>
  </si>
  <si>
    <t>Soupe</t>
  </si>
  <si>
    <t>Soupe en poudre</t>
  </si>
  <si>
    <t>Speculoos</t>
  </si>
  <si>
    <t>St moret</t>
  </si>
  <si>
    <t>Steack hache</t>
  </si>
  <si>
    <t>Thon</t>
  </si>
  <si>
    <t>Tomate (sauce)</t>
  </si>
  <si>
    <t>Tuc</t>
  </si>
  <si>
    <t>Viande hachee boeuf</t>
  </si>
  <si>
    <t>Fromage a  raclette</t>
  </si>
  <si>
    <t>Menthe</t>
  </si>
  <si>
    <t>Saucisse</t>
  </si>
  <si>
    <t>Ananas</t>
  </si>
  <si>
    <t>Gaspacho</t>
  </si>
  <si>
    <t>Remplir les jours dans cette colonne</t>
  </si>
  <si>
    <t>Liste de course sec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</si>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</sst>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"/>
    <numFmt numFmtId="165" formatCode="dd\ mmm"/>
    <numFmt numFmtId="166" formatCode="ddd\ d\ mmmm\ yy"/>
  </numFmts>
  <fonts count="1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4"/>
      <color rgb="FFFF00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8D2FF"/>
        <bgColor indexed="64"/>
      </patternFill>
    </fill>
    <fill>
      <patternFill patternType="solid">
        <fgColor rgb="FFFFD2D2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FD2FA"/>
        <bgColor indexed="64"/>
      </patternFill>
    </fill>
    <fill>
      <patternFill patternType="solid">
        <fgColor rgb="FFFFFAC8"/>
        <bgColor indexed="64"/>
      </patternFill>
    </fill>
    <fill>
      <patternFill patternType="solid">
        <fgColor rgb="FF6478FF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" fillId="3" borderId="1" applyNumberFormat="0" applyAlignment="0" applyProtection="0"/>
    <xf numFmtId="0" fontId="2" fillId="4" borderId="1" applyNumberFormat="0" applyAlignment="0" applyProtection="0"/>
  </cellStyleXfs>
  <cellXfs count="27">
    <xf numFmtId="0" fontId="0" fillId="0" borderId="0" xfId="0"/>
    <xf numFmtId="0" fontId="3" fillId="0" borderId="0" xfId="0" applyFont="1"/>
    <xf numFmtId="0" fontId="5" fillId="6" borderId="1" xfId="2" applyFont="1" applyFill="1" applyAlignment="1">
      <alignment horizontal="center"/>
    </xf>
    <xf numFmtId="0" fontId="5" fillId="9" borderId="1" xfId="2" applyFont="1" applyFill="1" applyAlignment="1">
      <alignment horizontal="center"/>
    </xf>
    <xf numFmtId="0" fontId="5" fillId="8" borderId="1" xfId="2" applyFont="1" applyFill="1" applyAlignment="1">
      <alignment horizontal="center"/>
    </xf>
    <xf numFmtId="0" fontId="5" fillId="7" borderId="1" xfId="2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1" fillId="2" borderId="1" xfId="1" applyFill="1" applyAlignment="1">
      <alignment horizontal="center"/>
    </xf>
    <xf numFmtId="164" fontId="7" fillId="10" borderId="1" xfId="2" applyNumberFormat="1" applyFont="1" applyFill="1" applyAlignment="1">
      <alignment horizontal="center"/>
    </xf>
    <xf numFmtId="12" fontId="0" fillId="0" borderId="0" xfId="0" applyNumberFormat="1"/>
    <xf numFmtId="0" fontId="6" fillId="5" borderId="1" xfId="2" applyFont="1" applyFill="1" applyAlignment="1">
      <alignment horizontal="center"/>
    </xf>
    <xf numFmtId="165" fontId="5" fillId="5" borderId="1" xfId="2" applyNumberFormat="1" applyFont="1" applyFill="1" applyAlignment="1">
      <alignment horizontal="center"/>
    </xf>
    <xf numFmtId="12" fontId="1" fillId="3" borderId="1" xfId="1" applyNumberFormat="1"/>
    <xf numFmtId="12" fontId="8" fillId="3" borderId="1" xfId="1" applyNumberFormat="1" applyFont="1"/>
    <xf numFmtId="0" fontId="0" fillId="0" borderId="0" xfId="0" applyFont="1" applyFill="1"/>
    <xf numFmtId="12" fontId="0" fillId="0" borderId="0" xfId="0" applyNumberFormat="1" applyFont="1" applyFill="1"/>
    <xf numFmtId="12" fontId="0" fillId="0" borderId="0" xfId="0" applyNumberFormat="1" applyAlignment="1">
      <alignment horizontal="center"/>
    </xf>
    <xf numFmtId="12" fontId="3" fillId="0" borderId="0" xfId="0" applyNumberFormat="1" applyFont="1" applyAlignment="1">
      <alignment horizontal="center"/>
    </xf>
    <xf numFmtId="166" fontId="1" fillId="2" borderId="1" xfId="1" applyNumberFormat="1" applyFill="1" applyAlignment="1">
      <alignment horizontal="center"/>
    </xf>
    <xf numFmtId="166" fontId="0" fillId="0" borderId="0" xfId="0" applyNumberFormat="1"/>
    <xf numFmtId="0" fontId="9" fillId="0" borderId="2" xfId="0" applyFont="1" applyBorder="1" applyAlignment="1">
      <alignment wrapText="1"/>
    </xf>
    <xf numFmtId="0" fontId="9" fillId="0" borderId="2" xfId="0" applyFont="1" applyBorder="1" applyAlignment="1">
      <alignment horizontal="right" wrapText="1"/>
    </xf>
    <xf numFmtId="0" fontId="9" fillId="0" borderId="0" xfId="0" applyFont="1"/>
    <xf numFmtId="14" fontId="1" fillId="2" borderId="1" xfId="1" applyNumberFormat="1" applyFill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/>
  </cellXfs>
  <cellStyles count="3">
    <cellStyle name="Calcul" xfId="2" builtinId="22"/>
    <cellStyle name="Entrée" xfId="1" builtinId="20"/>
    <cellStyle name="Normal" xfId="0" builtinId="0"/>
  </cellStyles>
  <dxfs count="4"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  <dxf>
      <fill>
        <patternFill>
          <bgColor rgb="FFDCFFD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mailto:fx73000@yahoo.fr?subject=(AssistantIntendance)%20-%20Hel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41275</xdr:rowOff>
    </xdr:from>
    <xdr:to>
      <xdr:col>2</xdr:col>
      <xdr:colOff>1047750</xdr:colOff>
      <xdr:row>23</xdr:row>
      <xdr:rowOff>104775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2794000"/>
          <a:ext cx="381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Pour tout reinitialiser : </a:t>
          </a:r>
        </a:p>
        <a:p>
          <a:r>
            <a:rPr lang="fr-FR" sz="1100"/>
            <a:t>*Clic droit sur le ruban</a:t>
          </a:r>
        </a:p>
        <a:p>
          <a:r>
            <a:rPr lang="fr-FR" sz="1100"/>
            <a:t>*Personnaliser le ruban</a:t>
          </a:r>
        </a:p>
        <a:p>
          <a:r>
            <a:rPr lang="fr-FR" sz="1100"/>
            <a:t>*Dans la liste "Categorie" Choisir "Macros"</a:t>
          </a:r>
        </a:p>
        <a:p>
          <a:r>
            <a:rPr lang="fr-FR" sz="1100"/>
            <a:t>*En bas a droite,  clic sur "Nouveau groupe"</a:t>
          </a:r>
        </a:p>
        <a:p>
          <a:r>
            <a:rPr lang="fr-FR" sz="1100"/>
            <a:t>*Puis clic sur "Ajouter"</a:t>
          </a:r>
        </a:p>
        <a:p>
          <a:r>
            <a:rPr lang="fr-FR" sz="1100"/>
            <a:t>*L'icone devrait mtn apparaitre a droite du ruban</a:t>
          </a:r>
        </a:p>
        <a:p>
          <a:r>
            <a:rPr lang="fr-FR" sz="1100"/>
            <a:t>*Cliquer dessus vous proposeras de  le remettre a zero (feuille par feuille),  puis vous proposera de mettre a jour les bases</a:t>
          </a:r>
        </a:p>
      </xdr:txBody>
    </xdr:sp>
    <xdr:clientData/>
  </xdr:twoCellAnchor>
  <xdr:twoCellAnchor>
    <xdr:from>
      <xdr:col>3</xdr:col>
      <xdr:colOff>936625</xdr:colOff>
      <xdr:row>10</xdr:row>
      <xdr:rowOff>41275</xdr:rowOff>
    </xdr:from>
    <xdr:to>
      <xdr:col>7</xdr:col>
      <xdr:colOff>492125</xdr:colOff>
      <xdr:row>23</xdr:row>
      <xdr:rowOff>104775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080000" y="2794000"/>
          <a:ext cx="50800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FR" sz="1100"/>
            <a:t>Essayez de remplir les 4 informations ci-dessus d'abord, c'est mieux :-)</a:t>
          </a:r>
        </a:p>
        <a:p>
          <a:r>
            <a:rPr lang="fr-FR" sz="1100"/>
            <a:t>Vous devez remplir la feuille "Menu", les listes se génèrent automatiquement.</a:t>
          </a:r>
        </a:p>
        <a:p>
          <a:r>
            <a:rPr lang="fr-FR" sz="1100"/>
            <a:t>Les propositions de la feuille Menu sont celles des bases aliments et recettes</a:t>
          </a:r>
        </a:p>
        <a:p>
          <a:r>
            <a:rPr lang="fr-FR" sz="1100"/>
            <a:t>Vous pouvez ajouter des aliments et recettes dans les bases</a:t>
          </a:r>
        </a:p>
        <a:p>
          <a:r>
            <a:rPr lang="fr-FR" sz="1100"/>
            <a:t>Vous pourrez, à la fin, ajouter ce que vous voulez à la main dans les listes</a:t>
          </a:r>
        </a:p>
        <a:p>
          <a:endParaRPr lang="fr-FR" sz="1100"/>
        </a:p>
      </xdr:txBody>
    </xdr:sp>
    <xdr:clientData/>
  </xdr:twoCellAnchor>
  <xdr:oneCellAnchor>
    <xdr:from>
      <xdr:col>4</xdr:col>
      <xdr:colOff>825500</xdr:colOff>
      <xdr:row>22</xdr:row>
      <xdr:rowOff>41275</xdr:rowOff>
    </xdr:from>
    <xdr:ext cx="2540000" cy="264560"/>
    <xdr:sp macro="" textlink="">
      <xdr:nvSpPr>
        <xdr:cNvPr id="4" name="ZoneText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350000" y="5080000"/>
          <a:ext cx="254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>
              <a:solidFill>
                <a:srgbClr val="0645AD"/>
              </a:solidFill>
            </a:rPr>
            <a:t>Questions, idées, bugs : Contactez-moi 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9525</xdr:rowOff>
        </xdr:from>
        <xdr:to>
          <xdr:col>9</xdr:col>
          <xdr:colOff>9525</xdr:colOff>
          <xdr:row>3</xdr:row>
          <xdr:rowOff>9525</xdr:rowOff>
        </xdr:to>
        <xdr:sp macro="" textlink="">
          <xdr:nvSpPr>
            <xdr:cNvPr id="339969" name="Valider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00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preserveFormatting="0" connectionId="1" xr16:uid="{427C777F-CD00-4B9D-B4A2-669B27029E7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ist" preserveFormatting="0" connectionId="1" xr16:uid="{20846373-2752-409F-AA1A-D7B6FBD6E97E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B387-1BB7-4848-BCA8-0EA50F5334C4}">
  <sheetPr codeName="Feuil14"/>
  <dimension ref="A1:J9"/>
  <sheetViews>
    <sheetView workbookViewId="0">
      <selection sqref="A1:I1"/>
    </sheetView>
  </sheetViews>
  <sheetFormatPr baseColWidth="10" defaultRowHeight="15" x14ac:dyDescent="0.25"/>
  <cols>
    <col min="1" max="6" width="20.7109375" customWidth="1"/>
    <col min="7" max="7" width="20.7109375" style="20" customWidth="1"/>
    <col min="8" max="9" width="20.7109375" customWidth="1"/>
  </cols>
  <sheetData>
    <row r="1" spans="1:10" s="6" customFormat="1" ht="81.75" x14ac:dyDescent="1.2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6">
        <v>1.2</v>
      </c>
    </row>
    <row r="2" spans="1:10" s="7" customFormat="1" x14ac:dyDescent="0.25">
      <c r="A2" s="8" t="s">
        <v>1</v>
      </c>
      <c r="C2" s="24" t="s">
        <v>7</v>
      </c>
      <c r="E2" s="8" t="s">
        <v>2</v>
      </c>
      <c r="G2" s="19" t="s">
        <v>133</v>
      </c>
    </row>
    <row r="3" spans="1:10" s="7" customFormat="1" x14ac:dyDescent="0.25">
      <c r="A3" s="8"/>
      <c r="C3" s="24"/>
      <c r="E3" s="8"/>
      <c r="G3" s="19">
        <f>C3</f>
        <v>0</v>
      </c>
    </row>
    <row r="4" spans="1:10" x14ac:dyDescent="0.25">
      <c r="G4" s="20" t="s">
        <v>234</v>
      </c>
    </row>
    <row r="5" spans="1:10" x14ac:dyDescent="0.25">
      <c r="A5" s="26" t="s">
        <v>142</v>
      </c>
      <c r="B5" s="26"/>
      <c r="C5" s="26"/>
      <c r="D5" s="26"/>
      <c r="E5" s="26"/>
    </row>
    <row r="6" spans="1:10" x14ac:dyDescent="0.25">
      <c r="A6" s="26"/>
      <c r="B6" s="26"/>
      <c r="C6" s="26"/>
      <c r="D6" s="26"/>
      <c r="E6" s="26"/>
    </row>
    <row r="7" spans="1:10" x14ac:dyDescent="0.25">
      <c r="A7" s="26" t="s">
        <v>3</v>
      </c>
      <c r="B7" s="26"/>
      <c r="C7" s="26"/>
      <c r="D7" s="26"/>
      <c r="E7" s="26"/>
    </row>
    <row r="9" spans="1:10" x14ac:dyDescent="0.25">
      <c r="A9" s="26" t="s">
        <v>143</v>
      </c>
      <c r="B9" s="26"/>
      <c r="C9" s="26"/>
      <c r="D9" s="26"/>
      <c r="E9" s="26"/>
    </row>
  </sheetData>
  <mergeCells count="4">
    <mergeCell ref="A1:I1"/>
    <mergeCell ref="A5:E6"/>
    <mergeCell ref="A7:E7"/>
    <mergeCell ref="A9:E9"/>
  </mergeCells>
  <conditionalFormatting sqref="A2:A3">
    <cfRule type="expression" dxfId="3" priority="1" stopIfTrue="1">
      <formula>$A$3 &lt;&gt; ""</formula>
    </cfRule>
  </conditionalFormatting>
  <conditionalFormatting sqref="C2:C3">
    <cfRule type="expression" dxfId="2" priority="2" stopIfTrue="1">
      <formula>$C$3 &lt;&gt; ""</formula>
    </cfRule>
  </conditionalFormatting>
  <conditionalFormatting sqref="E2:E3">
    <cfRule type="expression" dxfId="1" priority="3" stopIfTrue="1">
      <formula>$E$3 &lt;&gt; ""</formula>
    </cfRule>
  </conditionalFormatting>
  <conditionalFormatting sqref="G1:G1048576">
    <cfRule type="expression" dxfId="0" priority="4" stopIfTrue="1">
      <formula>G1&lt;&gt; 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969" r:id="rId4" name="Valider">
              <controlPr defaultSize="0" print="0" autoFill="0" autoPict="0" macro="[0]!Actualiser">
                <anchor moveWithCells="1" siz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9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1C154-E284-4044-98BF-1DD37BC8595F}">
  <sheetPr codeName="Feuil19"/>
  <dimension ref="A1:G8"/>
  <sheetViews>
    <sheetView tabSelected="1" workbookViewId="0">
      <selection activeCell="B20" sqref="B20"/>
    </sheetView>
  </sheetViews>
  <sheetFormatPr baseColWidth="10" defaultRowHeight="15" x14ac:dyDescent="0.25"/>
  <cols>
    <col min="1" max="1" width="30.7109375" style="1" customWidth="1"/>
    <col min="2" max="52" width="30.7109375" customWidth="1"/>
  </cols>
  <sheetData>
    <row r="1" spans="1:7" s="9" customFormat="1" x14ac:dyDescent="0.25"/>
    <row r="2" spans="1:7" s="11" customFormat="1" x14ac:dyDescent="0.25">
      <c r="A2" s="11" t="s">
        <v>144</v>
      </c>
    </row>
    <row r="3" spans="1:7" s="12" customFormat="1" x14ac:dyDescent="0.25"/>
    <row r="4" spans="1:7" s="2" customFormat="1" x14ac:dyDescent="0.25">
      <c r="A4" s="2" t="s">
        <v>8</v>
      </c>
      <c r="D4" s="2" t="s">
        <v>236</v>
      </c>
      <c r="E4" s="2" t="s">
        <v>236</v>
      </c>
      <c r="F4" s="2" t="s">
        <v>236</v>
      </c>
    </row>
    <row r="5" spans="1:7" s="2" customFormat="1" x14ac:dyDescent="0.25">
      <c r="F5" s="2" t="s">
        <v>236</v>
      </c>
      <c r="G5" s="2" t="s">
        <v>236</v>
      </c>
    </row>
    <row r="6" spans="1:7" s="3" customFormat="1" x14ac:dyDescent="0.25">
      <c r="A6" s="3" t="s">
        <v>9</v>
      </c>
    </row>
    <row r="7" spans="1:7" s="4" customFormat="1" x14ac:dyDescent="0.25">
      <c r="A7" s="4" t="s">
        <v>10</v>
      </c>
    </row>
    <row r="8" spans="1:7" s="5" customFormat="1" x14ac:dyDescent="0.25">
      <c r="A8" s="5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A705-7875-401E-8016-C88D27EEACE6}">
  <sheetPr codeName="Feuil16"/>
  <dimension ref="A1:G1"/>
  <sheetViews>
    <sheetView workbookViewId="0"/>
  </sheetViews>
  <sheetFormatPr baseColWidth="10" defaultRowHeight="15" x14ac:dyDescent="0.25"/>
  <cols>
    <col min="2" max="2" width="22.140625" style="1" customWidth="1"/>
    <col min="4" max="4" width="11.42578125" style="17"/>
    <col min="6" max="6" width="11.42578125" style="13"/>
  </cols>
  <sheetData>
    <row r="1" spans="1:7" s="1" customFormat="1" x14ac:dyDescent="0.25">
      <c r="A1" s="1" t="s">
        <v>235</v>
      </c>
      <c r="C1" s="1" t="s">
        <v>4</v>
      </c>
      <c r="D1" s="18" t="s">
        <v>132</v>
      </c>
      <c r="F1" s="14" t="s">
        <v>5</v>
      </c>
      <c r="G1" s="1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8A829-BAFF-42EC-AAD5-90B482E29791}">
  <sheetPr codeName="Feuil17"/>
  <dimension ref="A1:G1"/>
  <sheetViews>
    <sheetView workbookViewId="0"/>
  </sheetViews>
  <sheetFormatPr baseColWidth="10" defaultRowHeight="15" x14ac:dyDescent="0.25"/>
  <cols>
    <col min="2" max="2" width="30.7109375" style="1" customWidth="1"/>
    <col min="4" max="4" width="11.42578125" style="17"/>
    <col min="6" max="6" width="11.42578125" style="13"/>
  </cols>
  <sheetData>
    <row r="1" spans="1:7" s="1" customFormat="1" x14ac:dyDescent="0.25">
      <c r="A1" s="1" t="s">
        <v>141</v>
      </c>
      <c r="C1" s="1" t="s">
        <v>4</v>
      </c>
      <c r="D1" s="18" t="s">
        <v>132</v>
      </c>
      <c r="F1" s="14" t="s">
        <v>5</v>
      </c>
      <c r="G1" s="1" t="s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0FE6-52A5-4F69-832F-B725AFFBAD94}">
  <sheetPr codeName="Feuil18"/>
  <dimension ref="A1"/>
  <sheetViews>
    <sheetView workbookViewId="0"/>
  </sheetViews>
  <sheetFormatPr baseColWidth="10" defaultRowHeight="15" x14ac:dyDescent="0.25"/>
  <cols>
    <col min="1" max="1" width="11.425781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0C9F8-AF57-49B4-9C3C-765BE4577319}">
  <sheetPr codeName="Feuil7"/>
  <dimension ref="A1:Z136"/>
  <sheetViews>
    <sheetView topLeftCell="A37" workbookViewId="0">
      <selection activeCell="B35" sqref="B35"/>
    </sheetView>
  </sheetViews>
  <sheetFormatPr baseColWidth="10" defaultRowHeight="15" x14ac:dyDescent="0.25"/>
  <cols>
    <col min="1" max="1" width="18.7109375" bestFit="1" customWidth="1"/>
    <col min="2" max="2" width="12" style="10" bestFit="1" customWidth="1"/>
    <col min="3" max="4" width="9" bestFit="1" customWidth="1"/>
    <col min="5" max="6" width="2" bestFit="1" customWidth="1"/>
    <col min="7" max="8" width="2.28515625" bestFit="1" customWidth="1"/>
    <col min="9" max="9" width="1.5703125" bestFit="1" customWidth="1"/>
    <col min="10" max="10" width="1.7109375" bestFit="1" customWidth="1"/>
    <col min="11" max="11" width="2.140625" bestFit="1" customWidth="1"/>
    <col min="12" max="12" width="1.85546875" bestFit="1" customWidth="1"/>
    <col min="13" max="13" width="2.7109375" bestFit="1" customWidth="1"/>
    <col min="14" max="15" width="2.42578125" bestFit="1" customWidth="1"/>
    <col min="16" max="16" width="2.140625" bestFit="1" customWidth="1"/>
    <col min="17" max="17" width="2.42578125" bestFit="1" customWidth="1"/>
    <col min="18" max="18" width="2.140625" bestFit="1" customWidth="1"/>
    <col min="19" max="20" width="2" bestFit="1" customWidth="1"/>
    <col min="21" max="22" width="2.28515625" bestFit="1" customWidth="1"/>
    <col min="23" max="23" width="2.85546875" bestFit="1" customWidth="1"/>
    <col min="24" max="24" width="2.140625" bestFit="1" customWidth="1"/>
    <col min="25" max="26" width="2" bestFit="1" customWidth="1"/>
  </cols>
  <sheetData>
    <row r="1" spans="1:26" x14ac:dyDescent="0.25">
      <c r="A1" s="15" t="s">
        <v>13</v>
      </c>
      <c r="B1" s="16">
        <v>2</v>
      </c>
      <c r="C1" s="15"/>
      <c r="D1" s="15" t="s">
        <v>14</v>
      </c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x14ac:dyDescent="0.25">
      <c r="A2" s="15" t="s">
        <v>15</v>
      </c>
      <c r="B2" s="16">
        <v>1</v>
      </c>
      <c r="C2" s="15"/>
      <c r="D2" s="15" t="s">
        <v>14</v>
      </c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5">
      <c r="A3" s="15" t="s">
        <v>16</v>
      </c>
      <c r="B3" s="16">
        <v>0.25</v>
      </c>
      <c r="C3" s="15" t="s">
        <v>17</v>
      </c>
      <c r="D3" s="15" t="s">
        <v>18</v>
      </c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5">
      <c r="A4" s="15" t="s">
        <v>19</v>
      </c>
      <c r="B4" s="16">
        <v>90</v>
      </c>
      <c r="C4" s="15" t="s">
        <v>20</v>
      </c>
      <c r="D4" s="15" t="s">
        <v>14</v>
      </c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5">
      <c r="A5" s="15" t="s">
        <v>21</v>
      </c>
      <c r="B5" s="16">
        <v>1</v>
      </c>
      <c r="C5" s="15"/>
      <c r="D5" s="15" t="s">
        <v>14</v>
      </c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5">
      <c r="A6" s="15" t="s">
        <v>22</v>
      </c>
      <c r="B6" s="16">
        <v>1</v>
      </c>
      <c r="C6" s="15" t="s">
        <v>23</v>
      </c>
      <c r="D6" s="15" t="s">
        <v>18</v>
      </c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5">
      <c r="A7" s="15" t="s">
        <v>24</v>
      </c>
      <c r="B7" s="16">
        <v>0.2</v>
      </c>
      <c r="C7" s="15"/>
      <c r="D7" s="15" t="s">
        <v>14</v>
      </c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5">
      <c r="A8" s="15" t="s">
        <v>25</v>
      </c>
      <c r="B8" s="16">
        <v>15</v>
      </c>
      <c r="C8" s="15" t="s">
        <v>20</v>
      </c>
      <c r="D8" s="15" t="s">
        <v>14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5">
      <c r="A9" s="15" t="s">
        <v>26</v>
      </c>
      <c r="B9" s="16">
        <v>0.1</v>
      </c>
      <c r="C9" s="15"/>
      <c r="D9" s="15" t="s">
        <v>14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5">
      <c r="A10" s="15" t="s">
        <v>27</v>
      </c>
      <c r="B10" s="16">
        <v>0.16666666669999999</v>
      </c>
      <c r="C10" s="15"/>
      <c r="D10" s="15" t="s">
        <v>18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5">
      <c r="A11" s="15" t="s">
        <v>28</v>
      </c>
      <c r="B11" s="16">
        <v>0.33333333329999998</v>
      </c>
      <c r="C11" s="15"/>
      <c r="D11" s="15" t="s">
        <v>18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5">
      <c r="A12" s="15" t="s">
        <v>29</v>
      </c>
      <c r="B12" s="16">
        <v>140</v>
      </c>
      <c r="C12" s="15" t="s">
        <v>20</v>
      </c>
      <c r="D12" s="15" t="s">
        <v>18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5">
      <c r="A13" s="15" t="s">
        <v>30</v>
      </c>
      <c r="B13" s="16">
        <v>0.16666666669999999</v>
      </c>
      <c r="C13" s="15"/>
      <c r="D13" s="15" t="s">
        <v>18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5">
      <c r="A14" s="15" t="s">
        <v>31</v>
      </c>
      <c r="B14" s="16">
        <v>4</v>
      </c>
      <c r="C14" s="15" t="s">
        <v>32</v>
      </c>
      <c r="D14" s="15" t="s">
        <v>18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5">
      <c r="A15" s="15" t="s">
        <v>33</v>
      </c>
      <c r="B15" s="16">
        <v>0.05</v>
      </c>
      <c r="C15" s="15" t="s">
        <v>34</v>
      </c>
      <c r="D15" s="15" t="s">
        <v>18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5">
      <c r="A16" s="15" t="s">
        <v>35</v>
      </c>
      <c r="B16" s="16">
        <v>60</v>
      </c>
      <c r="C16" s="15" t="s">
        <v>20</v>
      </c>
      <c r="D16" s="15" t="s">
        <v>18</v>
      </c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5">
      <c r="A17" s="15" t="s">
        <v>36</v>
      </c>
      <c r="B17" s="16">
        <v>0.16666666669999999</v>
      </c>
      <c r="C17" s="15"/>
      <c r="D17" s="15" t="s">
        <v>14</v>
      </c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5">
      <c r="A18" s="15" t="s">
        <v>37</v>
      </c>
      <c r="B18" s="16">
        <v>0.16666666669999999</v>
      </c>
      <c r="C18" s="15"/>
      <c r="D18" s="15" t="s">
        <v>18</v>
      </c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5">
      <c r="A19" s="15" t="s">
        <v>38</v>
      </c>
      <c r="B19" s="16">
        <v>0.16666666669999999</v>
      </c>
      <c r="C19" s="15"/>
      <c r="D19" s="15" t="s">
        <v>18</v>
      </c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5">
      <c r="A20" s="15" t="s">
        <v>39</v>
      </c>
      <c r="B20" s="16">
        <v>1.818181818E-2</v>
      </c>
      <c r="C20" s="15"/>
      <c r="D20" s="15" t="s">
        <v>18</v>
      </c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5">
      <c r="A21" s="15" t="s">
        <v>40</v>
      </c>
      <c r="B21" s="16">
        <v>6.6666666669999999E-2</v>
      </c>
      <c r="C21" s="15"/>
      <c r="D21" s="15" t="s">
        <v>18</v>
      </c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5">
      <c r="A22" s="15" t="s">
        <v>41</v>
      </c>
      <c r="B22" s="16">
        <v>0.125</v>
      </c>
      <c r="C22" s="15"/>
      <c r="D22" s="15" t="s">
        <v>14</v>
      </c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5">
      <c r="A23" s="15" t="s">
        <v>42</v>
      </c>
      <c r="B23" s="16">
        <v>1</v>
      </c>
      <c r="C23" s="15"/>
      <c r="D23" s="15" t="s">
        <v>14</v>
      </c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5">
      <c r="A24" s="15" t="s">
        <v>43</v>
      </c>
      <c r="B24" s="16">
        <v>0.05</v>
      </c>
      <c r="C24" s="15"/>
      <c r="D24" s="15" t="s">
        <v>18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5">
      <c r="A25" s="15" t="s">
        <v>44</v>
      </c>
      <c r="B25" s="16">
        <v>60</v>
      </c>
      <c r="C25" s="15" t="s">
        <v>20</v>
      </c>
      <c r="D25" s="15" t="s">
        <v>14</v>
      </c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5">
      <c r="A26" s="15" t="s">
        <v>45</v>
      </c>
      <c r="B26" s="16">
        <v>60</v>
      </c>
      <c r="C26" s="15" t="s">
        <v>20</v>
      </c>
      <c r="D26" s="15" t="s">
        <v>18</v>
      </c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5">
      <c r="A27" s="15" t="s">
        <v>46</v>
      </c>
      <c r="B27" s="16">
        <v>0.14285714290000001</v>
      </c>
      <c r="C27" s="15"/>
      <c r="D27" s="15" t="s">
        <v>18</v>
      </c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5">
      <c r="A28" s="15" t="s">
        <v>47</v>
      </c>
      <c r="B28" s="16">
        <v>50</v>
      </c>
      <c r="C28" s="15" t="s">
        <v>20</v>
      </c>
      <c r="D28" s="15" t="s">
        <v>18</v>
      </c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5">
      <c r="A29" s="15" t="s">
        <v>48</v>
      </c>
      <c r="B29" s="16">
        <v>60</v>
      </c>
      <c r="C29" s="15" t="s">
        <v>20</v>
      </c>
      <c r="D29" s="15" t="s">
        <v>14</v>
      </c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5">
      <c r="A30" s="15" t="s">
        <v>49</v>
      </c>
      <c r="B30" s="16">
        <v>100</v>
      </c>
      <c r="C30" s="15" t="s">
        <v>20</v>
      </c>
      <c r="D30" s="15" t="s">
        <v>18</v>
      </c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5">
      <c r="A31" s="15" t="s">
        <v>50</v>
      </c>
      <c r="B31" s="16">
        <v>0.125</v>
      </c>
      <c r="C31" s="15"/>
      <c r="D31" s="15" t="s">
        <v>14</v>
      </c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5">
      <c r="A32" s="15" t="s">
        <v>51</v>
      </c>
      <c r="B32" s="16">
        <v>0.16666666669999999</v>
      </c>
      <c r="C32" s="15"/>
      <c r="D32" s="15" t="s">
        <v>18</v>
      </c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5">
      <c r="A33" s="15" t="s">
        <v>52</v>
      </c>
      <c r="B33" s="16">
        <v>0.16666666669999999</v>
      </c>
      <c r="C33" s="15"/>
      <c r="D33" s="15" t="s">
        <v>18</v>
      </c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5">
      <c r="A34" s="15" t="s">
        <v>53</v>
      </c>
      <c r="B34" s="16">
        <v>100</v>
      </c>
      <c r="C34" s="15" t="s">
        <v>20</v>
      </c>
      <c r="D34" s="15" t="s">
        <v>14</v>
      </c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5">
      <c r="A35" s="15" t="s">
        <v>54</v>
      </c>
      <c r="B35" s="16">
        <v>8.3333333329999995E-2</v>
      </c>
      <c r="C35" s="15"/>
      <c r="D35" s="15" t="s">
        <v>14</v>
      </c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5">
      <c r="A36" s="15" t="s">
        <v>55</v>
      </c>
      <c r="B36" s="16">
        <v>0.16666666669999999</v>
      </c>
      <c r="C36" s="15"/>
      <c r="D36" s="15" t="s">
        <v>18</v>
      </c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5">
      <c r="A37" s="15" t="s">
        <v>56</v>
      </c>
      <c r="B37" s="16">
        <v>0.1</v>
      </c>
      <c r="C37" s="15"/>
      <c r="D37" s="15" t="s">
        <v>14</v>
      </c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5">
      <c r="A38" s="15" t="s">
        <v>57</v>
      </c>
      <c r="B38" s="16">
        <v>0.25</v>
      </c>
      <c r="C38" s="15"/>
      <c r="D38" s="15" t="s">
        <v>14</v>
      </c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5">
      <c r="A39" s="15" t="s">
        <v>58</v>
      </c>
      <c r="B39" s="16">
        <v>0.05</v>
      </c>
      <c r="C39" s="15" t="s">
        <v>59</v>
      </c>
      <c r="D39" s="15" t="s">
        <v>18</v>
      </c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5">
      <c r="A40" s="15" t="s">
        <v>60</v>
      </c>
      <c r="B40" s="16">
        <v>0.25</v>
      </c>
      <c r="C40" s="15"/>
      <c r="D40" s="15" t="s">
        <v>18</v>
      </c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5">
      <c r="A41" s="15" t="s">
        <v>61</v>
      </c>
      <c r="B41" s="16">
        <v>0.16666666669999999</v>
      </c>
      <c r="C41" s="15"/>
      <c r="D41" s="15" t="s">
        <v>14</v>
      </c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5">
      <c r="A42" s="15" t="s">
        <v>62</v>
      </c>
      <c r="B42" s="16">
        <v>100</v>
      </c>
      <c r="C42" s="15" t="s">
        <v>20</v>
      </c>
      <c r="D42" s="15" t="s">
        <v>18</v>
      </c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5">
      <c r="A43" s="15" t="s">
        <v>63</v>
      </c>
      <c r="B43" s="16">
        <v>15</v>
      </c>
      <c r="C43" s="15"/>
      <c r="D43" s="15" t="s">
        <v>14</v>
      </c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5">
      <c r="A44" s="15" t="s">
        <v>64</v>
      </c>
      <c r="B44" s="16">
        <v>40</v>
      </c>
      <c r="C44" s="15" t="s">
        <v>20</v>
      </c>
      <c r="D44" s="15" t="s">
        <v>18</v>
      </c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5">
      <c r="A45" s="15" t="s">
        <v>65</v>
      </c>
      <c r="B45" s="16">
        <v>120</v>
      </c>
      <c r="C45" s="15" t="s">
        <v>20</v>
      </c>
      <c r="D45" s="15" t="s">
        <v>18</v>
      </c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5">
      <c r="A46" s="15" t="s">
        <v>66</v>
      </c>
      <c r="B46" s="16">
        <v>0.16666666669999999</v>
      </c>
      <c r="C46" s="15"/>
      <c r="D46" s="15" t="s">
        <v>18</v>
      </c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5">
      <c r="A47" s="15" t="s">
        <v>67</v>
      </c>
      <c r="B47" s="16">
        <v>250</v>
      </c>
      <c r="C47" s="15" t="s">
        <v>20</v>
      </c>
      <c r="D47" s="15" t="s">
        <v>14</v>
      </c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5">
      <c r="A48" s="15" t="s">
        <v>68</v>
      </c>
      <c r="B48" s="16">
        <v>150</v>
      </c>
      <c r="C48" s="15" t="s">
        <v>20</v>
      </c>
      <c r="D48" s="15" t="s">
        <v>14</v>
      </c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5">
      <c r="A49" s="15" t="s">
        <v>69</v>
      </c>
      <c r="B49" s="16">
        <v>85</v>
      </c>
      <c r="C49" s="15" t="s">
        <v>20</v>
      </c>
      <c r="D49" s="15" t="s">
        <v>14</v>
      </c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5">
      <c r="A50" s="15" t="s">
        <v>70</v>
      </c>
      <c r="B50" s="16">
        <v>50</v>
      </c>
      <c r="C50" s="15" t="s">
        <v>20</v>
      </c>
      <c r="D50" s="15" t="s">
        <v>14</v>
      </c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5">
      <c r="A51" s="15" t="s">
        <v>71</v>
      </c>
      <c r="B51" s="16">
        <v>3</v>
      </c>
      <c r="C51" s="15"/>
      <c r="D51" s="15" t="s">
        <v>14</v>
      </c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5">
      <c r="A52" s="15" t="s">
        <v>72</v>
      </c>
      <c r="B52" s="16">
        <v>1</v>
      </c>
      <c r="C52" s="15"/>
      <c r="D52" s="15" t="s">
        <v>14</v>
      </c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5">
      <c r="A53" s="15" t="s">
        <v>73</v>
      </c>
      <c r="B53" s="16" t="s">
        <v>74</v>
      </c>
      <c r="C53" s="15" t="s">
        <v>12</v>
      </c>
      <c r="D53" s="15" t="s">
        <v>18</v>
      </c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5">
      <c r="A54" s="15" t="s">
        <v>229</v>
      </c>
      <c r="B54" s="16">
        <v>100</v>
      </c>
      <c r="C54" s="15" t="s">
        <v>20</v>
      </c>
      <c r="D54" s="15" t="s">
        <v>14</v>
      </c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5">
      <c r="A55" s="15" t="s">
        <v>75</v>
      </c>
      <c r="B55" s="16">
        <v>125</v>
      </c>
      <c r="C55" s="15" t="s">
        <v>20</v>
      </c>
      <c r="D55" s="15" t="s">
        <v>14</v>
      </c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5">
      <c r="A56" s="15" t="s">
        <v>76</v>
      </c>
      <c r="B56" s="16">
        <v>60</v>
      </c>
      <c r="C56" s="15" t="s">
        <v>20</v>
      </c>
      <c r="D56" s="15" t="s">
        <v>14</v>
      </c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5">
      <c r="A57" s="15" t="s">
        <v>77</v>
      </c>
      <c r="B57" s="16">
        <v>30</v>
      </c>
      <c r="C57" s="15" t="s">
        <v>20</v>
      </c>
      <c r="D57" s="15" t="s">
        <v>18</v>
      </c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5">
      <c r="A58" s="15" t="s">
        <v>78</v>
      </c>
      <c r="B58" s="16">
        <v>100</v>
      </c>
      <c r="C58" s="15" t="s">
        <v>20</v>
      </c>
      <c r="D58" s="15" t="s">
        <v>18</v>
      </c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5">
      <c r="A59" s="15" t="s">
        <v>79</v>
      </c>
      <c r="B59" s="16">
        <v>40</v>
      </c>
      <c r="C59" s="15" t="s">
        <v>20</v>
      </c>
      <c r="D59" s="15" t="s">
        <v>14</v>
      </c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5">
      <c r="A60" s="15" t="s">
        <v>80</v>
      </c>
      <c r="B60" s="16">
        <v>2</v>
      </c>
      <c r="C60" s="15" t="s">
        <v>81</v>
      </c>
      <c r="D60" s="15" t="s">
        <v>18</v>
      </c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5">
      <c r="A61" s="15" t="s">
        <v>82</v>
      </c>
      <c r="B61" s="16">
        <v>60</v>
      </c>
      <c r="C61" s="15" t="s">
        <v>20</v>
      </c>
      <c r="D61" s="15" t="s">
        <v>14</v>
      </c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5">
      <c r="A62" s="15" t="s">
        <v>83</v>
      </c>
      <c r="B62" s="16">
        <v>180</v>
      </c>
      <c r="C62" s="15" t="s">
        <v>20</v>
      </c>
      <c r="D62" s="15" t="s">
        <v>14</v>
      </c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5">
      <c r="A63" s="15" t="s">
        <v>84</v>
      </c>
      <c r="B63" s="16">
        <v>1</v>
      </c>
      <c r="C63" s="15" t="s">
        <v>85</v>
      </c>
      <c r="D63" s="15" t="s">
        <v>14</v>
      </c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5">
      <c r="A64" s="15" t="s">
        <v>86</v>
      </c>
      <c r="B64" s="16">
        <v>3.3333333329999999E-2</v>
      </c>
      <c r="C64" s="15" t="s">
        <v>12</v>
      </c>
      <c r="D64" s="15" t="s">
        <v>18</v>
      </c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5">
      <c r="A65" s="15" t="s">
        <v>87</v>
      </c>
      <c r="B65" s="16">
        <v>2</v>
      </c>
      <c r="C65" s="15"/>
      <c r="D65" s="15" t="s">
        <v>14</v>
      </c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5">
      <c r="A66" s="15" t="s">
        <v>88</v>
      </c>
      <c r="B66" s="16">
        <v>0.16666666669999999</v>
      </c>
      <c r="C66" s="15" t="s">
        <v>12</v>
      </c>
      <c r="D66" s="15" t="s">
        <v>18</v>
      </c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5">
      <c r="A67" s="15" t="s">
        <v>89</v>
      </c>
      <c r="B67" s="16">
        <v>1.666666667E-2</v>
      </c>
      <c r="C67" s="15" t="s">
        <v>12</v>
      </c>
      <c r="D67" s="15" t="s">
        <v>18</v>
      </c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5">
      <c r="A68" s="15" t="s">
        <v>90</v>
      </c>
      <c r="B68" s="16">
        <v>8.3333333329999995E-2</v>
      </c>
      <c r="C68" s="15"/>
      <c r="D68" s="15" t="s">
        <v>14</v>
      </c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5">
      <c r="A69" s="15" t="s">
        <v>91</v>
      </c>
      <c r="B69" s="16">
        <v>50</v>
      </c>
      <c r="C69" s="15" t="s">
        <v>20</v>
      </c>
      <c r="D69" s="15" t="s">
        <v>14</v>
      </c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5">
      <c r="A70" s="15" t="s">
        <v>92</v>
      </c>
      <c r="B70" s="16">
        <v>60</v>
      </c>
      <c r="C70" s="15" t="s">
        <v>20</v>
      </c>
      <c r="D70" s="15" t="s">
        <v>18</v>
      </c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5">
      <c r="A71" s="15" t="s">
        <v>93</v>
      </c>
      <c r="B71" s="16">
        <v>0.16666666669999999</v>
      </c>
      <c r="C71" s="15"/>
      <c r="D71" s="15" t="s">
        <v>18</v>
      </c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5">
      <c r="A72" s="15" t="s">
        <v>94</v>
      </c>
      <c r="B72" s="16">
        <v>5</v>
      </c>
      <c r="C72" s="15" t="s">
        <v>32</v>
      </c>
      <c r="D72" s="15" t="s">
        <v>18</v>
      </c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5">
      <c r="A73" s="15" t="s">
        <v>95</v>
      </c>
      <c r="B73" s="16">
        <v>70</v>
      </c>
      <c r="C73" s="15" t="s">
        <v>20</v>
      </c>
      <c r="D73" s="15" t="s">
        <v>18</v>
      </c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5">
      <c r="A74" s="15" t="s">
        <v>96</v>
      </c>
      <c r="B74" s="16">
        <v>10</v>
      </c>
      <c r="C74" s="15" t="s">
        <v>20</v>
      </c>
      <c r="D74" s="15" t="s">
        <v>18</v>
      </c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5">
      <c r="A75" s="15" t="s">
        <v>97</v>
      </c>
      <c r="B75" s="16">
        <v>40</v>
      </c>
      <c r="C75" s="15" t="s">
        <v>20</v>
      </c>
      <c r="D75" s="15" t="s">
        <v>14</v>
      </c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5">
      <c r="A76" s="15" t="s">
        <v>98</v>
      </c>
      <c r="B76" s="16">
        <v>0.16666666669999999</v>
      </c>
      <c r="C76" s="15"/>
      <c r="D76" s="15" t="s">
        <v>14</v>
      </c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5">
      <c r="A77" s="15" t="s">
        <v>99</v>
      </c>
      <c r="B77" s="16">
        <v>2</v>
      </c>
      <c r="C77" s="15"/>
      <c r="D77" s="15" t="s">
        <v>14</v>
      </c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5">
      <c r="A78" s="15" t="s">
        <v>100</v>
      </c>
      <c r="B78" s="16">
        <v>0.16666666669999999</v>
      </c>
      <c r="C78" s="15"/>
      <c r="D78" s="15" t="s">
        <v>18</v>
      </c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5">
      <c r="A79" s="15" t="s">
        <v>101</v>
      </c>
      <c r="B79" s="16">
        <v>0.5</v>
      </c>
      <c r="C79" s="15" t="s">
        <v>102</v>
      </c>
      <c r="D79" s="15" t="s">
        <v>14</v>
      </c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5">
      <c r="A80" s="15" t="s">
        <v>103</v>
      </c>
      <c r="B80" s="16">
        <v>150</v>
      </c>
      <c r="C80" s="15" t="s">
        <v>20</v>
      </c>
      <c r="D80" s="15" t="s">
        <v>14</v>
      </c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5">
      <c r="A81" s="15" t="s">
        <v>104</v>
      </c>
      <c r="B81" s="16">
        <v>1</v>
      </c>
      <c r="C81" s="15"/>
      <c r="D81" s="15" t="s">
        <v>14</v>
      </c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5">
      <c r="A82" s="15" t="s">
        <v>105</v>
      </c>
      <c r="B82" s="16">
        <v>60</v>
      </c>
      <c r="C82" s="15" t="s">
        <v>20</v>
      </c>
      <c r="D82" s="15" t="s">
        <v>18</v>
      </c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5">
      <c r="A83" s="15" t="s">
        <v>106</v>
      </c>
      <c r="B83" s="16">
        <v>1</v>
      </c>
      <c r="C83" s="15"/>
      <c r="D83" s="15" t="s">
        <v>18</v>
      </c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5">
      <c r="A84" s="15" t="s">
        <v>107</v>
      </c>
      <c r="B84" s="16">
        <v>0.25</v>
      </c>
      <c r="C84" s="15"/>
      <c r="D84" s="15" t="s">
        <v>18</v>
      </c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5">
      <c r="A85" s="15" t="s">
        <v>108</v>
      </c>
      <c r="B85" s="16">
        <v>20</v>
      </c>
      <c r="C85" s="15" t="s">
        <v>20</v>
      </c>
      <c r="D85" s="15" t="s">
        <v>18</v>
      </c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5">
      <c r="A86" s="15" t="s">
        <v>109</v>
      </c>
      <c r="B86" s="16">
        <v>100</v>
      </c>
      <c r="C86" s="15" t="s">
        <v>20</v>
      </c>
      <c r="D86" s="15" t="s">
        <v>18</v>
      </c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5">
      <c r="A87" s="15" t="s">
        <v>110</v>
      </c>
      <c r="B87" s="16">
        <v>0.25</v>
      </c>
      <c r="C87" s="15" t="s">
        <v>111</v>
      </c>
      <c r="D87" s="15" t="s">
        <v>14</v>
      </c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5">
      <c r="A88" s="15" t="s">
        <v>112</v>
      </c>
      <c r="B88" s="16">
        <v>0.16666666669999999</v>
      </c>
      <c r="C88" s="15"/>
      <c r="D88" s="15" t="s">
        <v>18</v>
      </c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5">
      <c r="A89" s="15" t="s">
        <v>113</v>
      </c>
      <c r="B89" s="16">
        <v>1</v>
      </c>
      <c r="C89" s="15"/>
      <c r="D89" s="15" t="s">
        <v>18</v>
      </c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5">
      <c r="A90" s="15" t="s">
        <v>114</v>
      </c>
      <c r="B90" s="16">
        <v>0.5</v>
      </c>
      <c r="C90" s="15"/>
      <c r="D90" s="15" t="s">
        <v>14</v>
      </c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5">
      <c r="A91" s="15" t="s">
        <v>115</v>
      </c>
      <c r="B91" s="16">
        <v>8.3333333329999995E-2</v>
      </c>
      <c r="C91" s="15"/>
      <c r="D91" s="15" t="s">
        <v>14</v>
      </c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5">
      <c r="A92" s="15" t="s">
        <v>116</v>
      </c>
      <c r="B92" s="16">
        <v>250</v>
      </c>
      <c r="C92" s="15" t="s">
        <v>20</v>
      </c>
      <c r="D92" s="15" t="s">
        <v>18</v>
      </c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5">
      <c r="A93" s="15" t="s">
        <v>117</v>
      </c>
      <c r="B93" s="16">
        <v>150</v>
      </c>
      <c r="C93" s="15" t="s">
        <v>20</v>
      </c>
      <c r="D93" s="15" t="s">
        <v>18</v>
      </c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5">
      <c r="A94" s="15" t="s">
        <v>118</v>
      </c>
      <c r="B94" s="16">
        <v>1</v>
      </c>
      <c r="C94" s="15"/>
      <c r="D94" s="15" t="s">
        <v>14</v>
      </c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5">
      <c r="A95" s="15" t="s">
        <v>119</v>
      </c>
      <c r="B95" s="16">
        <v>0.16666666669999999</v>
      </c>
      <c r="C95" s="15"/>
      <c r="D95" s="15" t="s">
        <v>18</v>
      </c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5">
      <c r="A96" s="15" t="s">
        <v>120</v>
      </c>
      <c r="B96" s="16">
        <v>1</v>
      </c>
      <c r="C96" s="15"/>
      <c r="D96" s="15" t="s">
        <v>14</v>
      </c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5">
      <c r="A97" s="15" t="s">
        <v>121</v>
      </c>
      <c r="B97" s="16">
        <v>15</v>
      </c>
      <c r="C97" s="15" t="s">
        <v>20</v>
      </c>
      <c r="D97" s="15" t="s">
        <v>18</v>
      </c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5">
      <c r="A98" s="15" t="s">
        <v>122</v>
      </c>
      <c r="B98" s="16">
        <v>0.25</v>
      </c>
      <c r="C98" s="15"/>
      <c r="D98" s="15" t="s">
        <v>14</v>
      </c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5.75" thickBot="1" x14ac:dyDescent="0.3">
      <c r="A99" s="15" t="s">
        <v>123</v>
      </c>
      <c r="B99" s="16">
        <v>0.5</v>
      </c>
      <c r="C99" s="15"/>
      <c r="D99" s="15" t="s">
        <v>14</v>
      </c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5.75" thickBot="1" x14ac:dyDescent="0.3">
      <c r="A100" s="21" t="s">
        <v>134</v>
      </c>
      <c r="B100" s="22">
        <v>1</v>
      </c>
      <c r="C100" s="21"/>
      <c r="D100" s="21" t="s">
        <v>14</v>
      </c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5.75" thickBot="1" x14ac:dyDescent="0.3">
      <c r="A101" s="21" t="s">
        <v>203</v>
      </c>
      <c r="B101" s="22">
        <v>120</v>
      </c>
      <c r="C101" s="21" t="s">
        <v>20</v>
      </c>
      <c r="D101" s="21" t="s">
        <v>14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5.75" thickBot="1" x14ac:dyDescent="0.3">
      <c r="A102" s="21" t="s">
        <v>204</v>
      </c>
      <c r="B102" s="22">
        <v>2</v>
      </c>
      <c r="C102" s="21"/>
      <c r="D102" s="21" t="s">
        <v>14</v>
      </c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5.75" thickBot="1" x14ac:dyDescent="0.3">
      <c r="A103" s="21" t="s">
        <v>205</v>
      </c>
      <c r="B103" s="22">
        <v>2</v>
      </c>
      <c r="C103" s="21"/>
      <c r="D103" s="21" t="s">
        <v>14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5.75" thickBot="1" x14ac:dyDescent="0.3">
      <c r="A104" s="21" t="s">
        <v>205</v>
      </c>
      <c r="B104" s="22">
        <v>1</v>
      </c>
      <c r="C104" s="21"/>
      <c r="D104" s="21" t="s">
        <v>14</v>
      </c>
    </row>
    <row r="105" spans="1:26" ht="15.75" thickBot="1" x14ac:dyDescent="0.3">
      <c r="A105" s="21" t="s">
        <v>206</v>
      </c>
      <c r="B105" s="22">
        <v>0.25</v>
      </c>
      <c r="C105" s="21" t="s">
        <v>207</v>
      </c>
      <c r="D105" s="21" t="s">
        <v>18</v>
      </c>
    </row>
    <row r="106" spans="1:26" ht="15.75" thickBot="1" x14ac:dyDescent="0.3">
      <c r="A106" s="21" t="s">
        <v>208</v>
      </c>
      <c r="B106" s="22">
        <v>0.16666666669999999</v>
      </c>
      <c r="C106" s="21"/>
      <c r="D106" s="21" t="s">
        <v>18</v>
      </c>
    </row>
    <row r="107" spans="1:26" ht="15.75" thickBot="1" x14ac:dyDescent="0.3">
      <c r="A107" s="21" t="s">
        <v>209</v>
      </c>
      <c r="B107" s="22">
        <v>2</v>
      </c>
      <c r="C107" s="21"/>
      <c r="D107" s="21" t="s">
        <v>14</v>
      </c>
    </row>
    <row r="108" spans="1:26" ht="15.75" thickBot="1" x14ac:dyDescent="0.3">
      <c r="A108" s="21" t="s">
        <v>210</v>
      </c>
      <c r="B108" s="22">
        <v>65</v>
      </c>
      <c r="C108" s="21" t="s">
        <v>20</v>
      </c>
      <c r="D108" s="21" t="s">
        <v>18</v>
      </c>
    </row>
    <row r="109" spans="1:26" ht="15.75" thickBot="1" x14ac:dyDescent="0.3">
      <c r="A109" s="21" t="s">
        <v>211</v>
      </c>
      <c r="B109" s="22">
        <v>6.25E-2</v>
      </c>
      <c r="C109" s="21" t="s">
        <v>212</v>
      </c>
      <c r="D109" s="21" t="s">
        <v>14</v>
      </c>
    </row>
    <row r="110" spans="1:26" ht="15.75" thickBot="1" x14ac:dyDescent="0.3">
      <c r="A110" s="21" t="s">
        <v>213</v>
      </c>
      <c r="B110" s="22">
        <v>15</v>
      </c>
      <c r="C110" s="21" t="s">
        <v>20</v>
      </c>
      <c r="D110" s="21" t="s">
        <v>18</v>
      </c>
    </row>
    <row r="111" spans="1:26" ht="15.75" thickBot="1" x14ac:dyDescent="0.3">
      <c r="A111" s="21" t="s">
        <v>214</v>
      </c>
      <c r="B111" s="22">
        <v>0.125</v>
      </c>
      <c r="C111" s="21"/>
      <c r="D111" s="21" t="s">
        <v>14</v>
      </c>
    </row>
    <row r="112" spans="1:26" ht="15.75" thickBot="1" x14ac:dyDescent="0.3">
      <c r="A112" s="21" t="s">
        <v>135</v>
      </c>
      <c r="B112" s="22">
        <v>80</v>
      </c>
      <c r="C112" s="21" t="s">
        <v>20</v>
      </c>
      <c r="D112" s="21" t="s">
        <v>18</v>
      </c>
    </row>
    <row r="113" spans="1:4" ht="15.75" thickBot="1" x14ac:dyDescent="0.3">
      <c r="A113" s="21" t="s">
        <v>215</v>
      </c>
      <c r="B113" s="22">
        <v>70</v>
      </c>
      <c r="C113" s="21" t="s">
        <v>20</v>
      </c>
      <c r="D113" s="21" t="s">
        <v>14</v>
      </c>
    </row>
    <row r="114" spans="1:4" ht="15.75" thickBot="1" x14ac:dyDescent="0.3">
      <c r="A114" s="21" t="s">
        <v>216</v>
      </c>
      <c r="B114" s="22">
        <v>0.125</v>
      </c>
      <c r="C114" s="21"/>
      <c r="D114" s="21" t="s">
        <v>14</v>
      </c>
    </row>
    <row r="115" spans="1:4" ht="15.75" thickBot="1" x14ac:dyDescent="0.3">
      <c r="A115" s="21" t="s">
        <v>136</v>
      </c>
      <c r="B115" s="22">
        <v>1.666666667E-2</v>
      </c>
      <c r="C115" s="21" t="s">
        <v>140</v>
      </c>
      <c r="D115" s="21" t="s">
        <v>18</v>
      </c>
    </row>
    <row r="116" spans="1:4" ht="15.75" thickBot="1" x14ac:dyDescent="0.3">
      <c r="A116" s="21" t="s">
        <v>217</v>
      </c>
      <c r="B116" s="22">
        <v>1.666666667E-2</v>
      </c>
      <c r="C116" s="21" t="s">
        <v>140</v>
      </c>
      <c r="D116" s="21" t="s">
        <v>18</v>
      </c>
    </row>
    <row r="117" spans="1:4" ht="15.75" thickBot="1" x14ac:dyDescent="0.3">
      <c r="A117" s="21" t="s">
        <v>218</v>
      </c>
      <c r="B117" s="22">
        <v>0.11111111110000001</v>
      </c>
      <c r="C117" s="21"/>
      <c r="D117" s="21" t="s">
        <v>14</v>
      </c>
    </row>
    <row r="118" spans="1:4" ht="15.75" thickBot="1" x14ac:dyDescent="0.3">
      <c r="A118" s="21" t="s">
        <v>219</v>
      </c>
      <c r="B118" s="22">
        <v>0.16666666669999999</v>
      </c>
      <c r="C118" s="21"/>
      <c r="D118" s="21" t="s">
        <v>18</v>
      </c>
    </row>
    <row r="119" spans="1:4" ht="15.75" thickBot="1" x14ac:dyDescent="0.3">
      <c r="A119" s="21" t="s">
        <v>220</v>
      </c>
      <c r="B119" s="22">
        <v>0.125</v>
      </c>
      <c r="C119" s="21" t="s">
        <v>12</v>
      </c>
      <c r="D119" s="21" t="s">
        <v>18</v>
      </c>
    </row>
    <row r="120" spans="1:4" ht="15.75" thickBot="1" x14ac:dyDescent="0.3">
      <c r="A120" s="21" t="s">
        <v>221</v>
      </c>
      <c r="B120" s="22">
        <v>0.16666666669999999</v>
      </c>
      <c r="C120" s="21" t="s">
        <v>207</v>
      </c>
      <c r="D120" s="21" t="s">
        <v>18</v>
      </c>
    </row>
    <row r="121" spans="1:4" ht="15.75" thickBot="1" x14ac:dyDescent="0.3">
      <c r="A121" s="21" t="s">
        <v>222</v>
      </c>
      <c r="B121" s="22">
        <v>0.16666666669999999</v>
      </c>
      <c r="C121" s="21"/>
      <c r="D121" s="21" t="s">
        <v>18</v>
      </c>
    </row>
    <row r="122" spans="1:4" ht="15.75" thickBot="1" x14ac:dyDescent="0.3">
      <c r="A122" s="21" t="s">
        <v>223</v>
      </c>
      <c r="B122" s="22">
        <v>0.14285714290000001</v>
      </c>
      <c r="C122" s="21"/>
      <c r="D122" s="21" t="s">
        <v>14</v>
      </c>
    </row>
    <row r="123" spans="1:4" ht="15.75" thickBot="1" x14ac:dyDescent="0.3">
      <c r="A123" s="21" t="s">
        <v>224</v>
      </c>
      <c r="B123" s="22">
        <v>1</v>
      </c>
      <c r="C123" s="21"/>
      <c r="D123" s="21" t="s">
        <v>14</v>
      </c>
    </row>
    <row r="124" spans="1:4" ht="15.75" thickBot="1" x14ac:dyDescent="0.3">
      <c r="A124" s="21" t="s">
        <v>128</v>
      </c>
      <c r="B124" s="22">
        <v>20</v>
      </c>
      <c r="C124" s="21" t="s">
        <v>20</v>
      </c>
      <c r="D124" s="21" t="s">
        <v>18</v>
      </c>
    </row>
    <row r="125" spans="1:4" ht="15.75" thickBot="1" x14ac:dyDescent="0.3">
      <c r="A125" s="21" t="s">
        <v>225</v>
      </c>
      <c r="B125" s="22">
        <v>30</v>
      </c>
      <c r="C125" s="21" t="s">
        <v>20</v>
      </c>
      <c r="D125" s="21" t="s">
        <v>18</v>
      </c>
    </row>
    <row r="126" spans="1:4" ht="15.75" thickBot="1" x14ac:dyDescent="0.3">
      <c r="A126" s="21" t="s">
        <v>137</v>
      </c>
      <c r="B126" s="23">
        <v>1.5</v>
      </c>
      <c r="C126" s="21"/>
      <c r="D126" s="21" t="s">
        <v>14</v>
      </c>
    </row>
    <row r="127" spans="1:4" ht="15.75" thickBot="1" x14ac:dyDescent="0.3">
      <c r="A127" s="21" t="s">
        <v>226</v>
      </c>
      <c r="B127" s="22">
        <v>6.6666666669999999E-2</v>
      </c>
      <c r="C127" s="21" t="s">
        <v>12</v>
      </c>
      <c r="D127" s="21" t="s">
        <v>18</v>
      </c>
    </row>
    <row r="128" spans="1:4" ht="15.75" thickBot="1" x14ac:dyDescent="0.3">
      <c r="A128" s="21" t="s">
        <v>138</v>
      </c>
      <c r="B128" s="22">
        <v>50</v>
      </c>
      <c r="C128" s="21" t="s">
        <v>20</v>
      </c>
      <c r="D128" s="21" t="s">
        <v>14</v>
      </c>
    </row>
    <row r="129" spans="1:4" ht="15.75" thickBot="1" x14ac:dyDescent="0.3">
      <c r="A129" s="21" t="s">
        <v>227</v>
      </c>
      <c r="B129" s="22">
        <v>0.125</v>
      </c>
      <c r="C129" s="21"/>
      <c r="D129" s="21" t="s">
        <v>18</v>
      </c>
    </row>
    <row r="130" spans="1:4" ht="15.75" thickBot="1" x14ac:dyDescent="0.3">
      <c r="A130" s="21" t="s">
        <v>139</v>
      </c>
      <c r="B130" s="22">
        <v>5.0000000000000001E-3</v>
      </c>
      <c r="C130" s="21" t="s">
        <v>12</v>
      </c>
      <c r="D130" s="21" t="s">
        <v>18</v>
      </c>
    </row>
    <row r="131" spans="1:4" ht="15.75" thickBot="1" x14ac:dyDescent="0.3">
      <c r="A131" s="21" t="s">
        <v>228</v>
      </c>
      <c r="B131" s="22">
        <v>60</v>
      </c>
      <c r="C131" s="21" t="s">
        <v>20</v>
      </c>
      <c r="D131" s="21" t="s">
        <v>14</v>
      </c>
    </row>
    <row r="132" spans="1:4" ht="15.75" thickBot="1" x14ac:dyDescent="0.3">
      <c r="A132" s="21" t="s">
        <v>126</v>
      </c>
      <c r="B132" s="22">
        <v>1</v>
      </c>
      <c r="C132" s="21"/>
      <c r="D132" s="21" t="s">
        <v>14</v>
      </c>
    </row>
    <row r="133" spans="1:4" x14ac:dyDescent="0.25">
      <c r="A133" t="s">
        <v>230</v>
      </c>
      <c r="B133" s="10">
        <v>1</v>
      </c>
      <c r="C133" t="s">
        <v>20</v>
      </c>
      <c r="D133" t="s">
        <v>18</v>
      </c>
    </row>
    <row r="134" spans="1:4" x14ac:dyDescent="0.25">
      <c r="A134" t="s">
        <v>232</v>
      </c>
      <c r="B134" s="10">
        <v>20</v>
      </c>
      <c r="C134" t="s">
        <v>20</v>
      </c>
      <c r="D134" t="s">
        <v>18</v>
      </c>
    </row>
    <row r="135" spans="1:4" x14ac:dyDescent="0.25">
      <c r="A135" t="s">
        <v>231</v>
      </c>
      <c r="B135" s="10">
        <v>1</v>
      </c>
      <c r="D135" t="s">
        <v>14</v>
      </c>
    </row>
    <row r="136" spans="1:4" x14ac:dyDescent="0.25">
      <c r="A136" t="s">
        <v>233</v>
      </c>
      <c r="B136" s="10">
        <v>0.16</v>
      </c>
      <c r="C136" t="s">
        <v>140</v>
      </c>
      <c r="D136" t="s">
        <v>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B96AE-280F-484E-80D5-FFE2184DC225}">
  <sheetPr codeName="Feuil21"/>
  <dimension ref="A1:Z103"/>
  <sheetViews>
    <sheetView topLeftCell="A7" workbookViewId="0">
      <selection activeCell="E41" sqref="E41"/>
    </sheetView>
  </sheetViews>
  <sheetFormatPr baseColWidth="10" defaultRowHeight="15" x14ac:dyDescent="0.25"/>
  <cols>
    <col min="1" max="1" width="22" bestFit="1" customWidth="1"/>
    <col min="2" max="2" width="21.85546875" bestFit="1" customWidth="1"/>
    <col min="3" max="3" width="18.28515625" style="10" bestFit="1" customWidth="1"/>
    <col min="4" max="4" width="5.85546875" bestFit="1" customWidth="1"/>
    <col min="5" max="5" width="9" bestFit="1" customWidth="1"/>
    <col min="6" max="6" width="81.140625" bestFit="1" customWidth="1"/>
    <col min="7" max="8" width="2.28515625" bestFit="1" customWidth="1"/>
    <col min="9" max="9" width="1.5703125" bestFit="1" customWidth="1"/>
    <col min="10" max="10" width="1.7109375" bestFit="1" customWidth="1"/>
    <col min="11" max="11" width="2.140625" bestFit="1" customWidth="1"/>
    <col min="12" max="12" width="1.85546875" bestFit="1" customWidth="1"/>
    <col min="13" max="13" width="2.7109375" bestFit="1" customWidth="1"/>
    <col min="14" max="15" width="2.42578125" bestFit="1" customWidth="1"/>
    <col min="16" max="16" width="2.140625" bestFit="1" customWidth="1"/>
    <col min="17" max="17" width="2.42578125" bestFit="1" customWidth="1"/>
    <col min="18" max="18" width="2.140625" bestFit="1" customWidth="1"/>
    <col min="19" max="20" width="2" bestFit="1" customWidth="1"/>
    <col min="21" max="22" width="2.28515625" bestFit="1" customWidth="1"/>
    <col min="23" max="23" width="2.85546875" bestFit="1" customWidth="1"/>
    <col min="24" max="24" width="2.140625" bestFit="1" customWidth="1"/>
    <col min="25" max="26" width="2" bestFit="1" customWidth="1"/>
  </cols>
  <sheetData>
    <row r="1" spans="1:26" x14ac:dyDescent="0.25">
      <c r="A1" s="15" t="s">
        <v>125</v>
      </c>
      <c r="B1" s="15" t="s">
        <v>126</v>
      </c>
      <c r="C1" s="16">
        <v>0.16666666669999999</v>
      </c>
      <c r="D1" s="15"/>
      <c r="E1" s="15" t="s">
        <v>14</v>
      </c>
      <c r="F1" s="15" t="s">
        <v>127</v>
      </c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x14ac:dyDescent="0.25">
      <c r="A2" s="15"/>
      <c r="B2" s="15" t="s">
        <v>131</v>
      </c>
      <c r="C2" s="16">
        <v>40</v>
      </c>
      <c r="D2" s="15" t="s">
        <v>20</v>
      </c>
      <c r="E2" s="15" t="s">
        <v>18</v>
      </c>
      <c r="F2" s="15" t="s">
        <v>181</v>
      </c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5">
      <c r="A3" s="15"/>
      <c r="B3" s="15" t="s">
        <v>128</v>
      </c>
      <c r="C3" s="16">
        <v>26.666666670000001</v>
      </c>
      <c r="D3" s="15" t="s">
        <v>20</v>
      </c>
      <c r="E3" s="15" t="s">
        <v>18</v>
      </c>
      <c r="F3" s="15" t="s">
        <v>182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5">
      <c r="A4" s="15"/>
      <c r="B4" s="15" t="s">
        <v>106</v>
      </c>
      <c r="C4" s="16">
        <v>0.5</v>
      </c>
      <c r="D4" s="15"/>
      <c r="E4" s="15" t="s">
        <v>18</v>
      </c>
      <c r="F4" s="15" t="s">
        <v>129</v>
      </c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5">
      <c r="A5" s="15"/>
      <c r="B5" s="15" t="s">
        <v>130</v>
      </c>
      <c r="C5" s="16">
        <v>8.3333333329999995E-2</v>
      </c>
      <c r="D5" s="15"/>
      <c r="E5" s="15" t="s">
        <v>18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5">
      <c r="A6" s="15" t="s">
        <v>145</v>
      </c>
      <c r="B6" s="15" t="s">
        <v>146</v>
      </c>
      <c r="C6" s="16">
        <v>80</v>
      </c>
      <c r="D6" s="15" t="s">
        <v>20</v>
      </c>
      <c r="E6" s="15" t="s">
        <v>18</v>
      </c>
      <c r="F6" s="15" t="s">
        <v>183</v>
      </c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5">
      <c r="A7" s="15"/>
      <c r="B7" s="15" t="s">
        <v>138</v>
      </c>
      <c r="C7" s="16">
        <v>50</v>
      </c>
      <c r="D7" s="15" t="s">
        <v>20</v>
      </c>
      <c r="E7" s="15" t="s">
        <v>14</v>
      </c>
      <c r="F7" s="15" t="s">
        <v>184</v>
      </c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5">
      <c r="A8" s="15"/>
      <c r="B8" s="15" t="s">
        <v>25</v>
      </c>
      <c r="C8" s="16">
        <v>8</v>
      </c>
      <c r="D8" s="15" t="s">
        <v>20</v>
      </c>
      <c r="E8" s="15" t="s">
        <v>14</v>
      </c>
      <c r="F8" s="15" t="s">
        <v>170</v>
      </c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5">
      <c r="A9" s="15"/>
      <c r="B9" s="15" t="s">
        <v>63</v>
      </c>
      <c r="C9" s="16">
        <v>3.5000000000000003E-2</v>
      </c>
      <c r="D9" s="15" t="s">
        <v>140</v>
      </c>
      <c r="E9" s="15" t="s">
        <v>14</v>
      </c>
      <c r="F9" s="15" t="s">
        <v>185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5">
      <c r="A10" s="15"/>
      <c r="B10" s="15" t="s">
        <v>16</v>
      </c>
      <c r="C10" s="16">
        <v>0.15</v>
      </c>
      <c r="D10" s="15"/>
      <c r="E10" s="15" t="s">
        <v>18</v>
      </c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5">
      <c r="A11" s="15" t="s">
        <v>147</v>
      </c>
      <c r="B11" s="15" t="s">
        <v>106</v>
      </c>
      <c r="C11" s="16">
        <v>0.5</v>
      </c>
      <c r="D11" s="15"/>
      <c r="E11" s="15" t="s">
        <v>18</v>
      </c>
      <c r="F11" s="15" t="s">
        <v>171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5">
      <c r="A12" s="15"/>
      <c r="B12" s="15" t="s">
        <v>128</v>
      </c>
      <c r="C12" s="16">
        <v>16</v>
      </c>
      <c r="D12" s="15" t="s">
        <v>20</v>
      </c>
      <c r="E12" s="15" t="s">
        <v>18</v>
      </c>
      <c r="F12" s="15" t="s">
        <v>172</v>
      </c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5">
      <c r="A13" s="15"/>
      <c r="B13" s="15" t="s">
        <v>139</v>
      </c>
      <c r="C13" s="16">
        <v>0.01</v>
      </c>
      <c r="D13" s="15" t="s">
        <v>140</v>
      </c>
      <c r="E13" s="15" t="s">
        <v>18</v>
      </c>
      <c r="F13" s="15" t="s">
        <v>186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5">
      <c r="A14" s="15"/>
      <c r="B14" s="15" t="s">
        <v>97</v>
      </c>
      <c r="C14" s="16">
        <v>40</v>
      </c>
      <c r="D14" s="15" t="s">
        <v>20</v>
      </c>
      <c r="E14" s="15" t="s">
        <v>14</v>
      </c>
      <c r="F14" s="15" t="s">
        <v>173</v>
      </c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5">
      <c r="A15" s="15"/>
      <c r="B15" s="15" t="s">
        <v>31</v>
      </c>
      <c r="C15" s="16">
        <v>4</v>
      </c>
      <c r="D15" s="15"/>
      <c r="E15" s="15" t="s">
        <v>18</v>
      </c>
      <c r="F15" s="15" t="s">
        <v>174</v>
      </c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5">
      <c r="A16" s="15"/>
      <c r="B16" s="15" t="s">
        <v>39</v>
      </c>
      <c r="C16" s="16">
        <v>0.02</v>
      </c>
      <c r="D16" s="15" t="s">
        <v>20</v>
      </c>
      <c r="E16" s="15" t="s">
        <v>18</v>
      </c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5">
      <c r="A17" s="15" t="s">
        <v>148</v>
      </c>
      <c r="B17" s="15" t="s">
        <v>135</v>
      </c>
      <c r="C17" s="16">
        <v>35</v>
      </c>
      <c r="D17" s="15" t="s">
        <v>20</v>
      </c>
      <c r="E17" s="15" t="s">
        <v>18</v>
      </c>
      <c r="F17" s="15" t="s">
        <v>195</v>
      </c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5">
      <c r="A18" s="15"/>
      <c r="B18" s="15" t="s">
        <v>88</v>
      </c>
      <c r="C18" s="16">
        <v>0.33</v>
      </c>
      <c r="D18" s="15" t="s">
        <v>140</v>
      </c>
      <c r="E18" s="15" t="s">
        <v>18</v>
      </c>
      <c r="F18" s="15" t="s">
        <v>175</v>
      </c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5">
      <c r="A19" s="15"/>
      <c r="B19" s="15" t="s">
        <v>128</v>
      </c>
      <c r="C19" s="16">
        <v>20</v>
      </c>
      <c r="D19" s="15" t="s">
        <v>20</v>
      </c>
      <c r="E19" s="15" t="s">
        <v>18</v>
      </c>
      <c r="F19" s="15" t="s">
        <v>196</v>
      </c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5">
      <c r="A20" s="15"/>
      <c r="B20" s="15" t="s">
        <v>187</v>
      </c>
      <c r="C20" s="16">
        <v>0.01</v>
      </c>
      <c r="D20" s="15" t="s">
        <v>140</v>
      </c>
      <c r="E20" s="15" t="s">
        <v>18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5">
      <c r="A21" s="15" t="s">
        <v>149</v>
      </c>
      <c r="B21" s="15" t="s">
        <v>150</v>
      </c>
      <c r="C21" s="16">
        <v>100</v>
      </c>
      <c r="D21" s="15" t="s">
        <v>20</v>
      </c>
      <c r="E21" s="15" t="s">
        <v>14</v>
      </c>
      <c r="F21" s="15" t="s">
        <v>197</v>
      </c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5">
      <c r="A22" s="15"/>
      <c r="B22" s="15" t="s">
        <v>151</v>
      </c>
      <c r="C22" s="16">
        <v>1</v>
      </c>
      <c r="D22" s="15"/>
      <c r="E22" s="15" t="s">
        <v>18</v>
      </c>
      <c r="F22" s="15" t="s">
        <v>198</v>
      </c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5">
      <c r="A23" s="15"/>
      <c r="B23" s="15" t="s">
        <v>90</v>
      </c>
      <c r="C23" s="16">
        <v>60</v>
      </c>
      <c r="D23" s="15" t="s">
        <v>20</v>
      </c>
      <c r="E23" s="15" t="s">
        <v>14</v>
      </c>
      <c r="F23" s="15" t="s">
        <v>176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5">
      <c r="A24" s="15"/>
      <c r="B24" s="15" t="s">
        <v>137</v>
      </c>
      <c r="C24" s="16">
        <v>1</v>
      </c>
      <c r="D24" s="15"/>
      <c r="E24" s="15" t="s">
        <v>14</v>
      </c>
      <c r="F24" s="15" t="s">
        <v>188</v>
      </c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5">
      <c r="A25" s="15"/>
      <c r="B25" s="15" t="s">
        <v>152</v>
      </c>
      <c r="C25" s="16">
        <v>0.3</v>
      </c>
      <c r="D25" s="15"/>
      <c r="E25" s="15" t="s">
        <v>18</v>
      </c>
      <c r="F25" s="15" t="s">
        <v>177</v>
      </c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5">
      <c r="A26" s="15"/>
      <c r="B26" s="15" t="s">
        <v>153</v>
      </c>
      <c r="C26" s="16">
        <v>50</v>
      </c>
      <c r="D26" s="15" t="s">
        <v>20</v>
      </c>
      <c r="E26" s="15" t="s">
        <v>14</v>
      </c>
      <c r="F26" s="15" t="s">
        <v>154</v>
      </c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5">
      <c r="A27" s="15"/>
      <c r="B27" s="15" t="s">
        <v>155</v>
      </c>
      <c r="C27" s="16">
        <v>0.01</v>
      </c>
      <c r="D27" s="15" t="s">
        <v>20</v>
      </c>
      <c r="E27" s="15" t="s">
        <v>18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5">
      <c r="A28" s="15"/>
      <c r="B28" s="15" t="s">
        <v>136</v>
      </c>
      <c r="C28" s="16">
        <v>0.02</v>
      </c>
      <c r="D28" s="15" t="s">
        <v>140</v>
      </c>
      <c r="E28" s="15" t="s">
        <v>18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5">
      <c r="A29" s="15" t="s">
        <v>156</v>
      </c>
      <c r="B29" s="15" t="s">
        <v>96</v>
      </c>
      <c r="C29" s="16">
        <v>10</v>
      </c>
      <c r="D29" s="15" t="s">
        <v>20</v>
      </c>
      <c r="E29" s="15" t="s">
        <v>18</v>
      </c>
      <c r="F29" s="15" t="s">
        <v>157</v>
      </c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5">
      <c r="A30" s="15"/>
      <c r="B30" s="15" t="s">
        <v>88</v>
      </c>
      <c r="C30" s="16">
        <v>0.06</v>
      </c>
      <c r="D30" s="15" t="s">
        <v>140</v>
      </c>
      <c r="E30" s="15" t="s">
        <v>18</v>
      </c>
      <c r="F30" s="15" t="s">
        <v>178</v>
      </c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5">
      <c r="A31" s="15"/>
      <c r="B31" s="15" t="s">
        <v>25</v>
      </c>
      <c r="C31" s="16">
        <v>4</v>
      </c>
      <c r="D31" s="15" t="s">
        <v>20</v>
      </c>
      <c r="E31" s="15" t="s">
        <v>14</v>
      </c>
      <c r="F31" s="15" t="s">
        <v>189</v>
      </c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5">
      <c r="A32" s="15"/>
      <c r="B32" s="15" t="s">
        <v>158</v>
      </c>
      <c r="C32" s="16">
        <v>0.01</v>
      </c>
      <c r="D32" s="15" t="s">
        <v>20</v>
      </c>
      <c r="E32" s="15" t="s">
        <v>18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5">
      <c r="A33" s="15" t="s">
        <v>159</v>
      </c>
      <c r="B33" s="15" t="s">
        <v>88</v>
      </c>
      <c r="C33" s="16">
        <v>3.125E-2</v>
      </c>
      <c r="D33" s="15" t="s">
        <v>140</v>
      </c>
      <c r="E33" s="15" t="s">
        <v>18</v>
      </c>
      <c r="F33" s="15" t="s">
        <v>199</v>
      </c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5">
      <c r="A34" s="15"/>
      <c r="B34" s="15" t="s">
        <v>106</v>
      </c>
      <c r="C34" s="16">
        <v>0.25</v>
      </c>
      <c r="D34" s="15"/>
      <c r="E34" s="15" t="s">
        <v>18</v>
      </c>
      <c r="F34" s="15" t="s">
        <v>179</v>
      </c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5">
      <c r="A35" s="15"/>
      <c r="B35" s="15" t="s">
        <v>128</v>
      </c>
      <c r="C35" s="16">
        <v>20</v>
      </c>
      <c r="D35" s="15" t="s">
        <v>20</v>
      </c>
      <c r="E35" s="15" t="s">
        <v>18</v>
      </c>
      <c r="F35" s="15" t="s">
        <v>180</v>
      </c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5">
      <c r="A36" s="15"/>
      <c r="B36" s="15" t="s">
        <v>131</v>
      </c>
      <c r="C36" s="16">
        <v>2.5</v>
      </c>
      <c r="D36" s="15" t="s">
        <v>20</v>
      </c>
      <c r="E36" s="15" t="s">
        <v>18</v>
      </c>
      <c r="F36" s="15" t="s">
        <v>190</v>
      </c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5">
      <c r="A37" s="15"/>
      <c r="B37" s="15" t="s">
        <v>139</v>
      </c>
      <c r="C37" s="16">
        <v>0.01</v>
      </c>
      <c r="D37" s="15" t="s">
        <v>140</v>
      </c>
      <c r="E37" s="15" t="s">
        <v>18</v>
      </c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5">
      <c r="A38" s="15"/>
      <c r="B38" s="15" t="s">
        <v>79</v>
      </c>
      <c r="C38" s="16">
        <v>35</v>
      </c>
      <c r="D38" s="15" t="s">
        <v>20</v>
      </c>
      <c r="E38" s="15" t="s">
        <v>14</v>
      </c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5">
      <c r="A39" s="15"/>
      <c r="B39" s="15" t="s">
        <v>31</v>
      </c>
      <c r="C39" s="16">
        <v>4</v>
      </c>
      <c r="D39" s="15"/>
      <c r="E39" s="15" t="s">
        <v>18</v>
      </c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5">
      <c r="A40" s="15" t="s">
        <v>191</v>
      </c>
      <c r="B40" s="15" t="s">
        <v>134</v>
      </c>
      <c r="C40" s="16">
        <v>1</v>
      </c>
      <c r="D40" s="15"/>
      <c r="E40" s="15" t="s">
        <v>14</v>
      </c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5">
      <c r="A41" s="15"/>
      <c r="B41" s="15" t="s">
        <v>128</v>
      </c>
      <c r="C41" s="16">
        <v>40</v>
      </c>
      <c r="D41" s="15" t="s">
        <v>20</v>
      </c>
      <c r="E41" s="15" t="s">
        <v>18</v>
      </c>
      <c r="F41" s="15" t="s">
        <v>160</v>
      </c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5">
      <c r="A42" s="15"/>
      <c r="B42" s="15" t="s">
        <v>54</v>
      </c>
      <c r="C42" s="16">
        <v>6.25E-2</v>
      </c>
      <c r="D42" s="15"/>
      <c r="E42" s="15" t="s">
        <v>14</v>
      </c>
      <c r="F42" s="15" t="s">
        <v>192</v>
      </c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5">
      <c r="A43" s="15"/>
      <c r="B43" s="15" t="s">
        <v>25</v>
      </c>
      <c r="C43" s="16">
        <v>5</v>
      </c>
      <c r="D43" s="15" t="s">
        <v>20</v>
      </c>
      <c r="E43" s="15" t="s">
        <v>14</v>
      </c>
      <c r="F43" s="15" t="s">
        <v>193</v>
      </c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5">
      <c r="A44" s="15"/>
      <c r="B44" s="15" t="s">
        <v>161</v>
      </c>
      <c r="C44" s="16">
        <v>1</v>
      </c>
      <c r="D44" s="15"/>
      <c r="E44" s="15" t="s">
        <v>18</v>
      </c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5">
      <c r="A45" s="15" t="s">
        <v>162</v>
      </c>
      <c r="B45" s="15" t="s">
        <v>106</v>
      </c>
      <c r="C45" s="16">
        <v>1.33</v>
      </c>
      <c r="D45" s="15"/>
      <c r="E45" s="15" t="s">
        <v>18</v>
      </c>
      <c r="F45" s="15" t="s">
        <v>201</v>
      </c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5">
      <c r="A46" s="15"/>
      <c r="B46" s="15" t="s">
        <v>88</v>
      </c>
      <c r="C46" s="16">
        <v>0.25</v>
      </c>
      <c r="D46" s="15"/>
      <c r="E46" s="15" t="s">
        <v>18</v>
      </c>
      <c r="F46" s="15" t="s">
        <v>202</v>
      </c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5">
      <c r="A47" s="15"/>
      <c r="B47" s="15" t="s">
        <v>128</v>
      </c>
      <c r="C47" s="16">
        <v>30</v>
      </c>
      <c r="D47" s="15" t="s">
        <v>20</v>
      </c>
      <c r="E47" s="15" t="s">
        <v>18</v>
      </c>
      <c r="F47" s="15" t="s">
        <v>200</v>
      </c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5">
      <c r="A48" s="15"/>
      <c r="B48" s="15" t="s">
        <v>187</v>
      </c>
      <c r="C48" s="16">
        <v>0.01</v>
      </c>
      <c r="D48" s="15" t="s">
        <v>140</v>
      </c>
      <c r="E48" s="15" t="s">
        <v>18</v>
      </c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5">
      <c r="A49" s="15" t="s">
        <v>163</v>
      </c>
      <c r="B49" s="15" t="s">
        <v>164</v>
      </c>
      <c r="C49" s="16">
        <v>0.2</v>
      </c>
      <c r="D49" s="15" t="s">
        <v>140</v>
      </c>
      <c r="E49" s="15" t="s">
        <v>18</v>
      </c>
      <c r="F49" s="15" t="s">
        <v>165</v>
      </c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5">
      <c r="A50" s="15"/>
      <c r="B50" s="15" t="s">
        <v>166</v>
      </c>
      <c r="C50" s="16">
        <v>0.01</v>
      </c>
      <c r="D50" s="15" t="s">
        <v>20</v>
      </c>
      <c r="E50" s="15" t="s">
        <v>18</v>
      </c>
      <c r="F50" s="15" t="s">
        <v>167</v>
      </c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5">
      <c r="A51" s="15"/>
      <c r="B51" s="15" t="s">
        <v>168</v>
      </c>
      <c r="C51" s="16">
        <v>0.12</v>
      </c>
      <c r="D51" s="15"/>
      <c r="E51" s="15" t="s">
        <v>14</v>
      </c>
      <c r="F51" s="15" t="s">
        <v>194</v>
      </c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5">
      <c r="A52" s="15"/>
      <c r="B52" s="15" t="s">
        <v>169</v>
      </c>
      <c r="C52" s="16">
        <v>5</v>
      </c>
      <c r="D52" s="15" t="s">
        <v>20</v>
      </c>
      <c r="E52" s="15" t="s">
        <v>18</v>
      </c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5">
      <c r="A53" s="15"/>
      <c r="B53" s="15" t="s">
        <v>128</v>
      </c>
      <c r="C53" s="16">
        <v>5</v>
      </c>
      <c r="D53" s="15" t="s">
        <v>20</v>
      </c>
      <c r="E53" s="15" t="s">
        <v>18</v>
      </c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5">
      <c r="A54" s="15"/>
      <c r="B54" s="15"/>
      <c r="C54" s="16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5">
      <c r="A55" s="15"/>
      <c r="B55" s="15"/>
      <c r="C55" s="16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5">
      <c r="A56" s="15"/>
      <c r="B56" s="15"/>
      <c r="C56" s="16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5">
      <c r="A57" s="15"/>
      <c r="B57" s="15"/>
      <c r="C57" s="16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5">
      <c r="A58" s="15"/>
      <c r="B58" s="15"/>
      <c r="C58" s="16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5">
      <c r="A59" s="15"/>
      <c r="B59" s="15"/>
      <c r="C59" s="16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5">
      <c r="A60" s="15"/>
      <c r="B60" s="15"/>
      <c r="C60" s="16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5">
      <c r="A61" s="15"/>
      <c r="B61" s="15"/>
      <c r="C61" s="16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5">
      <c r="A62" s="15"/>
      <c r="B62" s="15"/>
      <c r="C62" s="16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5">
      <c r="A63" s="15"/>
      <c r="B63" s="15"/>
      <c r="C63" s="16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5">
      <c r="A64" s="15"/>
      <c r="B64" s="15"/>
      <c r="C64" s="16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5">
      <c r="A65" s="15"/>
      <c r="B65" s="15"/>
      <c r="C65" s="16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5">
      <c r="A66" s="15"/>
      <c r="B66" s="15"/>
      <c r="C66" s="16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5">
      <c r="A67" s="15"/>
      <c r="B67" s="15"/>
      <c r="C67" s="16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5">
      <c r="A68" s="15"/>
      <c r="B68" s="15"/>
      <c r="C68" s="16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5">
      <c r="A69" s="15"/>
      <c r="B69" s="15"/>
      <c r="C69" s="16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5">
      <c r="A70" s="15"/>
      <c r="B70" s="15"/>
      <c r="C70" s="16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5">
      <c r="A71" s="15"/>
      <c r="B71" s="15"/>
      <c r="C71" s="16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5">
      <c r="A72" s="15"/>
      <c r="B72" s="15"/>
      <c r="C72" s="16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5">
      <c r="A73" s="15"/>
      <c r="B73" s="15"/>
      <c r="C73" s="16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5">
      <c r="A74" s="15"/>
      <c r="B74" s="15"/>
      <c r="C74" s="16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5">
      <c r="A75" s="15"/>
      <c r="B75" s="15"/>
      <c r="C75" s="16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5">
      <c r="A76" s="15"/>
      <c r="B76" s="15"/>
      <c r="C76" s="16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5">
      <c r="A77" s="15"/>
      <c r="B77" s="15"/>
      <c r="C77" s="16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5">
      <c r="A78" s="15"/>
      <c r="B78" s="15"/>
      <c r="C78" s="16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5">
      <c r="A79" s="15"/>
      <c r="B79" s="15"/>
      <c r="C79" s="16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5">
      <c r="A80" s="15"/>
      <c r="B80" s="15"/>
      <c r="C80" s="16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5">
      <c r="A81" s="15"/>
      <c r="B81" s="15"/>
      <c r="C81" s="16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5">
      <c r="A82" s="15"/>
      <c r="B82" s="15"/>
      <c r="C82" s="16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5">
      <c r="A83" s="15"/>
      <c r="B83" s="15"/>
      <c r="C83" s="16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5">
      <c r="A84" s="15"/>
      <c r="B84" s="15"/>
      <c r="C84" s="16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5">
      <c r="A85" s="15"/>
      <c r="B85" s="15"/>
      <c r="C85" s="16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5">
      <c r="A86" s="15"/>
      <c r="B86" s="15"/>
      <c r="C86" s="16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5">
      <c r="A87" s="15"/>
      <c r="B87" s="15"/>
      <c r="C87" s="16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5">
      <c r="A88" s="15"/>
      <c r="B88" s="15"/>
      <c r="C88" s="16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5">
      <c r="A89" s="15"/>
      <c r="B89" s="15"/>
      <c r="C89" s="16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5">
      <c r="A90" s="15"/>
      <c r="B90" s="15"/>
      <c r="C90" s="16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5">
      <c r="A91" s="15"/>
      <c r="B91" s="15"/>
      <c r="C91" s="16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5">
      <c r="A92" s="15"/>
      <c r="B92" s="15"/>
      <c r="C92" s="16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5">
      <c r="A93" s="15"/>
      <c r="B93" s="15"/>
      <c r="C93" s="16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5">
      <c r="A94" s="15"/>
      <c r="B94" s="15"/>
      <c r="C94" s="16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5">
      <c r="A95" s="15"/>
      <c r="B95" s="15"/>
      <c r="C95" s="16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5">
      <c r="A96" s="15"/>
      <c r="B96" s="15"/>
      <c r="C96" s="16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5">
      <c r="A97" s="15"/>
      <c r="B97" s="15"/>
      <c r="C97" s="16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5">
      <c r="A98" s="15"/>
      <c r="B98" s="15"/>
      <c r="C98" s="16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5">
      <c r="A99" s="15"/>
      <c r="B99" s="15"/>
      <c r="C99" s="16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5">
      <c r="A100" s="15"/>
      <c r="B100" s="15"/>
      <c r="C100" s="16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5">
      <c r="A101" s="15"/>
      <c r="B101" s="15"/>
      <c r="C101" s="16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5">
      <c r="A102" s="15"/>
      <c r="B102" s="15" t="s">
        <v>124</v>
      </c>
      <c r="C102" s="16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5">
      <c r="A103" s="15"/>
      <c r="B103" s="15"/>
      <c r="C103" s="16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Accueil</vt:lpstr>
      <vt:lpstr>Menu</vt:lpstr>
      <vt:lpstr>Liste Sec</vt:lpstr>
      <vt:lpstr>Liste Frais</vt:lpstr>
      <vt:lpstr>Recettes</vt:lpstr>
      <vt:lpstr>BaseAliments</vt:lpstr>
      <vt:lpstr>BaseRecettes</vt:lpstr>
      <vt:lpstr>BaseAliments!DonnéesExternes_1</vt:lpstr>
      <vt:lpstr>BaseRecettes!List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fx phoenix</dc:creator>
  <cp:lastModifiedBy>Fx</cp:lastModifiedBy>
  <cp:lastPrinted>2019-06-07T11:10:02Z</cp:lastPrinted>
  <dcterms:created xsi:type="dcterms:W3CDTF">2019-05-26T18:00:20Z</dcterms:created>
  <dcterms:modified xsi:type="dcterms:W3CDTF">2022-03-17T20:10:29Z</dcterms:modified>
</cp:coreProperties>
</file>